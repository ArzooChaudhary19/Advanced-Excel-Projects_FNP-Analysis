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53dd1c87f02027a5/Desktop/ADVANCED EXCEL/Project 2/"/>
    </mc:Choice>
  </mc:AlternateContent>
  <xr:revisionPtr revIDLastSave="35" documentId="8_{8E30CAF6-0D4B-41B5-9D2C-E6E6ECFE570D}" xr6:coauthVersionLast="47" xr6:coauthVersionMax="47" xr10:uidLastSave="{C20B7672-C10A-4863-9B6B-67570108B8E1}"/>
  <bookViews>
    <workbookView xWindow="-108" yWindow="-108" windowWidth="23256" windowHeight="13176" firstSheet="1" activeTab="5" xr2:uid="{538B9A6F-05DF-40FA-9269-9915875B1425}"/>
  </bookViews>
  <sheets>
    <sheet name="Raw Datasets"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'Raw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1" r:id="rId8"/>
    <pivotCache cacheId="14" r:id="rId9"/>
    <pivotCache cacheId="17" r:id="rId10"/>
    <pivotCache cacheId="20" r:id="rId11"/>
    <pivotCache cacheId="23" r:id="rId12"/>
    <pivotCache cacheId="2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 Datasets_d9e03ff1-1a08-4473-ab11-b2b1ac4dbf11" name="Raw Datasets" connection="Query - Raw Datasets"/>
          <x15:modelTable id="Customers_58fff0c9-c230-4f30-b40e-0fa12bbf4126" name="Customers" connection="Query - Customers"/>
          <x15:modelTable id="Orders_892b7681-539d-4bfc-86ae-169487f7212c" name="Orders" connection="Query - Orders"/>
          <x15:modelTable id="Products_5cb0c64e-55f6-48aa-a448-ce268a8cfaf7"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I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3CEBE7-4F79-4242-8C8F-BD850607251C}" keepAlive="1" name="ModelConnection_ExternalData_1" description="Data Model" type="5" refreshedVersion="8" minRefreshableVersion="5" saveData="1">
    <dbPr connection="Data Model Connection" command="Raw Datasets" commandType="3"/>
    <extLst>
      <ext xmlns:x15="http://schemas.microsoft.com/office/spreadsheetml/2010/11/main" uri="{DE250136-89BD-433C-8126-D09CA5730AF9}">
        <x15:connection id="" model="1"/>
      </ext>
    </extLst>
  </connection>
  <connection id="2" xr16:uid="{26AB806E-EFFE-4FBE-918C-038F149A4092}"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1B110222-D23A-43F2-A23E-7EE51601240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B6C15C37-A43E-4CCA-BDD0-DE8F749D837D}"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CB3FCA58-71D4-4381-9B29-83A6E0F0E8BF}" name="Query - Customers" description="Connection to the 'Customers' query in the workbook." type="100" refreshedVersion="8" minRefreshableVersion="5">
    <extLst>
      <ext xmlns:x15="http://schemas.microsoft.com/office/spreadsheetml/2010/11/main" uri="{DE250136-89BD-433C-8126-D09CA5730AF9}">
        <x15:connection id="8ccd2df6-e217-4891-8b02-f7c83fae63d9"/>
      </ext>
    </extLst>
  </connection>
  <connection id="6" xr16:uid="{8A1B0D5D-A2E3-40CD-A67A-4BB752B04F44}" name="Query - Orders" description="Connection to the 'Orders' query in the workbook." type="100" refreshedVersion="8" minRefreshableVersion="5">
    <extLst>
      <ext xmlns:x15="http://schemas.microsoft.com/office/spreadsheetml/2010/11/main" uri="{DE250136-89BD-433C-8126-D09CA5730AF9}">
        <x15:connection id="68860873-cccd-4b55-b3de-82feb7033831"/>
      </ext>
    </extLst>
  </connection>
  <connection id="7" xr16:uid="{A9D088F6-85BF-4A43-B88D-B8EE6C878E8A}" name="Query - Products" description="Connection to the 'Products' query in the workbook." type="100" refreshedVersion="8" minRefreshableVersion="5">
    <extLst>
      <ext xmlns:x15="http://schemas.microsoft.com/office/spreadsheetml/2010/11/main" uri="{DE250136-89BD-433C-8126-D09CA5730AF9}">
        <x15:connection id="3157946d-d02d-4a26-af49-5ac4cd322f02"/>
      </ext>
    </extLst>
  </connection>
  <connection id="8" xr16:uid="{BF6CED5D-7351-4B6C-800A-44FF63CB79A3}" name="Query - Raw Datasets" description="Connection to the 'Raw Datasets' query in the workbook." type="100" refreshedVersion="8" minRefreshableVersion="5">
    <extLst>
      <ext xmlns:x15="http://schemas.microsoft.com/office/spreadsheetml/2010/11/main" uri="{DE250136-89BD-433C-8126-D09CA5730AF9}">
        <x15:connection id="6a027a3a-b773-4020-ae34-1563774bd063"/>
      </ext>
    </extLst>
  </connection>
  <connection id="9" xr16:uid="{D663B8CE-415C-4987-9E14-43C3FBA7520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<sst xmlns="http://schemas.openxmlformats.org/spreadsheetml/2006/main" count="6019" uniqueCount="949">
  <si>
    <t>Name</t>
  </si>
  <si>
    <t>Extension</t>
  </si>
  <si>
    <t>Date accessed</t>
  </si>
  <si>
    <t>Date modified</t>
  </si>
  <si>
    <t>Date created</t>
  </si>
  <si>
    <t>Folder Path</t>
  </si>
  <si>
    <t>customers.csv</t>
  </si>
  <si>
    <t>.csv</t>
  </si>
  <si>
    <t>C:\Users\ABHIJEET\OneDrive\Desktop\ADVANCED EXCEL\Project 2\Raw Datasets\</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</si>
  <si>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</si>
  <si>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</si>
  <si>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</si>
  <si>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</si>
  <si>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</si>
  <si>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</si>
  <si>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</si>
  <si>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</si>
  <si>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</si>
  <si>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</si>
  <si>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</si>
  <si>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</si>
  <si>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</si>
  <si>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</si>
  <si>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</si>
  <si>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</si>
  <si>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</si>
  <si>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</si>
  <si>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</si>
  <si>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</si>
  <si>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</si>
  <si>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</si>
  <si>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</si>
  <si>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</si>
  <si>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</si>
  <si>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</si>
  <si>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</si>
  <si>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</si>
  <si>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</si>
  <si>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</si>
  <si>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</si>
  <si>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</si>
  <si>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</si>
  <si>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</si>
  <si>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</si>
  <si>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</si>
  <si>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</si>
  <si>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</si>
  <si>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</si>
  <si>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</si>
  <si>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</si>
  <si>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</si>
  <si>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</si>
  <si>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</si>
  <si>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</si>
  <si>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</si>
  <si>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</si>
  <si>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</si>
  <si>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</si>
  <si>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</si>
  <si>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</si>
  <si>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</si>
  <si>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</si>
  <si>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</si>
  <si>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</si>
  <si>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</si>
  <si>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</si>
  <si>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</si>
  <si>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</si>
  <si>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</si>
  <si>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</si>
  <si>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</si>
  <si>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</si>
  <si>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</si>
  <si>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</si>
  <si>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</si>
  <si>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</si>
  <si>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</si>
  <si>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</si>
  <si>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</si>
  <si>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</si>
  <si>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</si>
  <si>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</si>
  <si>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</si>
  <si>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</si>
  <si>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</si>
  <si>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</si>
  <si>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</si>
  <si>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</si>
  <si>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</si>
  <si>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</si>
  <si>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</si>
  <si>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</si>
  <si>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</si>
  <si>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</si>
  <si>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</si>
  <si>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</si>
  <si>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</si>
  <si>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</si>
  <si>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</si>
  <si>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</si>
  <si>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</si>
  <si>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</si>
  <si>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</si>
  <si>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</si>
  <si>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</si>
  <si>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</si>
  <si>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</si>
  <si>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</si>
  <si>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</si>
  <si>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</si>
  <si>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</si>
  <si>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</si>
  <si>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</si>
  <si>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</si>
  <si>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</si>
  <si>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</si>
  <si>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</si>
  <si>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</si>
  <si>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</si>
  <si>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</si>
  <si>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</si>
  <si>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</si>
  <si>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</si>
  <si>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</si>
  <si>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</si>
  <si>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</si>
  <si>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</si>
  <si>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</si>
  <si>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</si>
  <si>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</si>
  <si>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</si>
  <si>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</si>
  <si>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</si>
  <si>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</si>
  <si>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</si>
  <si>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</si>
  <si>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</si>
  <si>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</si>
  <si>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</si>
  <si>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</si>
  <si>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</si>
  <si>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</si>
  <si>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</si>
  <si>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</si>
  <si>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</si>
  <si>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</si>
  <si>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</si>
  <si>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</si>
  <si>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</si>
  <si>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</si>
  <si>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</si>
  <si>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</si>
  <si>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</si>
  <si>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</si>
  <si>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</si>
  <si>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</si>
  <si>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</si>
  <si>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</si>
  <si>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</si>
  <si>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</si>
  <si>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</si>
  <si>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</si>
  <si>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</si>
  <si>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</si>
  <si>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</si>
  <si>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</si>
  <si>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</si>
  <si>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</si>
  <si>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</si>
  <si>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</si>
  <si>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</si>
  <si>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</si>
  <si>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</si>
  <si>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</si>
  <si>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</si>
  <si>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</si>
  <si>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</si>
  <si>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</si>
  <si>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</si>
  <si>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</si>
  <si>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</si>
  <si>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</si>
  <si>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</si>
  <si>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</si>
  <si>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</si>
  <si>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</si>
  <si>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</si>
  <si>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</si>
  <si>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</si>
  <si>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</si>
  <si>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</si>
  <si>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</si>
  <si>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</si>
  <si>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</si>
  <si>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</si>
  <si>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</si>
  <si>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</si>
  <si>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</si>
  <si>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</si>
  <si>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</si>
  <si>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</si>
  <si>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</si>
  <si>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</si>
  <si>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</si>
  <si>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</si>
  <si>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</si>
  <si>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</si>
  <si>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</si>
  <si>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</si>
  <si>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</si>
  <si>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</si>
  <si>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</si>
  <si>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</si>
  <si>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</si>
  <si>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</si>
  <si>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</si>
  <si>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</si>
  <si>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</si>
  <si>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</si>
  <si>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</si>
  <si>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</si>
  <si>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</si>
  <si>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</si>
  <si>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</si>
  <si>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</si>
  <si>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</si>
  <si>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</si>
  <si>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</si>
  <si>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</si>
  <si>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</si>
  <si>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</si>
  <si>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</si>
  <si>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</si>
  <si>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</si>
  <si>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</si>
  <si>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</si>
  <si>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</si>
  <si>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</si>
  <si>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</si>
  <si>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</si>
  <si>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</si>
  <si>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</si>
  <si>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</si>
  <si>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</si>
  <si>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</si>
  <si>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</si>
  <si>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</si>
  <si>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</si>
  <si>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</si>
  <si>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</si>
  <si>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</si>
  <si>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</si>
  <si>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</si>
  <si>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</si>
  <si>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</si>
  <si>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</si>
  <si>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</si>
  <si>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</si>
  <si>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</si>
  <si>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</si>
  <si>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</si>
  <si>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</si>
  <si>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</si>
  <si>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</si>
  <si>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</si>
  <si>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</si>
  <si>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</si>
  <si>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</si>
  <si>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</si>
  <si>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</si>
  <si>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</si>
  <si>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</si>
  <si>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</si>
  <si>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</si>
  <si>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</si>
  <si>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</si>
  <si>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</si>
  <si>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</si>
  <si>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</si>
  <si>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</si>
  <si>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</si>
  <si>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</si>
  <si>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</si>
  <si>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</si>
  <si>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</si>
  <si>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</si>
  <si>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</si>
  <si>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</si>
  <si>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</si>
  <si>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</si>
  <si>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</si>
  <si>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</si>
  <si>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</si>
  <si>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</si>
  <si>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</si>
  <si>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</si>
  <si>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</si>
  <si>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</si>
  <si>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</si>
  <si>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</si>
  <si>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</si>
  <si>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</si>
  <si>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</si>
  <si>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</si>
  <si>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</si>
  <si>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</si>
  <si>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</si>
  <si>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</si>
  <si>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</si>
  <si>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</si>
  <si>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</si>
  <si>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</si>
  <si>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</si>
  <si>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</si>
  <si>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</si>
  <si>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</si>
  <si>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</si>
  <si>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</si>
  <si>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</si>
  <si>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</si>
  <si>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</si>
  <si>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</si>
  <si>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</si>
  <si>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</si>
  <si>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</si>
  <si>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</si>
  <si>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</si>
  <si>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</si>
  <si>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</si>
  <si>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</si>
  <si>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</si>
  <si>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</si>
  <si>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</si>
  <si>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</si>
  <si>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</si>
  <si>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</si>
  <si>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</si>
  <si>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</si>
  <si>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</si>
  <si>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</si>
  <si>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</si>
  <si>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</si>
  <si>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</si>
  <si>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</si>
  <si>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</si>
  <si>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</si>
  <si>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</si>
  <si>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</si>
  <si>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</si>
  <si>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</si>
  <si>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</si>
  <si>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</si>
  <si>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</si>
  <si>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</si>
  <si>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</si>
  <si>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</si>
  <si>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</si>
  <si>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</si>
  <si>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</si>
  <si>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</si>
  <si>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</si>
  <si>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</si>
  <si>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</si>
  <si>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</si>
  <si>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</si>
  <si>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</si>
  <si>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</si>
  <si>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</si>
  <si>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</si>
  <si>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</si>
  <si>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</si>
  <si>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</si>
  <si>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</si>
  <si>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</si>
  <si>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</si>
  <si>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</si>
  <si>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</si>
  <si>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</si>
  <si>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</si>
  <si>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</si>
  <si>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</si>
  <si>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</si>
  <si>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</si>
  <si>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</si>
  <si>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</si>
  <si>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</si>
  <si>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</si>
  <si>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</si>
  <si>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</si>
  <si>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</si>
  <si>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</si>
  <si>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</si>
  <si>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</si>
  <si>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</si>
  <si>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</si>
  <si>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</si>
  <si>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</si>
  <si>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</si>
  <si>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</si>
  <si>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</si>
  <si>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</si>
  <si>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</si>
  <si>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</si>
  <si>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</si>
  <si>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</si>
  <si>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</si>
  <si>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</si>
  <si>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</si>
  <si>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</si>
  <si>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</si>
  <si>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</si>
  <si>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</si>
  <si>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</si>
  <si>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</si>
  <si>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</si>
  <si>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</si>
  <si>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</si>
  <si>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</si>
  <si>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</si>
  <si>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</si>
  <si>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</si>
  <si>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</si>
  <si>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</si>
  <si>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</si>
  <si>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</si>
  <si>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</si>
  <si>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</si>
  <si>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</si>
  <si>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</si>
  <si>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</si>
  <si>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</si>
  <si>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</si>
  <si>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</si>
  <si>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</si>
  <si>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</si>
  <si>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</si>
  <si>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</si>
  <si>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</si>
  <si>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</si>
  <si>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</si>
  <si>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</si>
  <si>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</si>
  <si>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</si>
  <si>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</si>
  <si>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</si>
  <si>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</si>
  <si>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</si>
  <si>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</si>
  <si>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</si>
  <si>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</si>
  <si>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</si>
  <si>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</si>
  <si>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</si>
  <si>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</si>
  <si>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</si>
  <si>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</si>
  <si>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</si>
  <si>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</si>
  <si>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</si>
  <si>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</si>
  <si>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</si>
  <si>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</si>
  <si>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</si>
  <si>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</si>
  <si>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</si>
  <si>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</si>
  <si>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</si>
  <si>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</si>
  <si>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</si>
  <si>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</si>
  <si>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</si>
  <si>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</si>
  <si>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</si>
  <si>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</si>
  <si>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</si>
  <si>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</si>
  <si>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</si>
  <si>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</si>
  <si>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</si>
  <si>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</si>
  <si>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</si>
  <si>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</si>
  <si>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</si>
  <si>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</si>
  <si>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</si>
  <si>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</si>
  <si>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</si>
  <si>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</si>
  <si>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</si>
  <si>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</si>
  <si>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</si>
  <si>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</si>
  <si>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</si>
  <si>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</si>
  <si>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</si>
  <si>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</si>
  <si>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</si>
  <si>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</si>
  <si>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</si>
  <si>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</si>
  <si>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</si>
  <si>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</si>
  <si>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</si>
  <si>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</si>
  <si>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</si>
  <si>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</si>
  <si>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</si>
  <si>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</si>
  <si>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</si>
  <si>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</si>
  <si>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</si>
  <si>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</si>
  <si>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</si>
  <si>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</si>
  <si>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</si>
  <si>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</si>
  <si>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</si>
  <si>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</si>
  <si>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</si>
  <si>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</si>
  <si>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</si>
  <si>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</si>
  <si>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</si>
  <si>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</si>
  <si>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</si>
  <si>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</si>
  <si>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</si>
  <si>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</si>
  <si>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</si>
  <si>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</si>
  <si>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</si>
  <si>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</si>
  <si>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</si>
  <si>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</si>
  <si>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</si>
  <si>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</si>
  <si>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</si>
  <si>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</si>
  <si>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</si>
  <si>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</si>
  <si>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</si>
  <si>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</si>
  <si>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</si>
  <si>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</si>
  <si>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</si>
  <si>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</si>
  <si>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</si>
  <si>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</si>
  <si>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</si>
  <si>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</si>
  <si>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</si>
  <si>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</si>
  <si>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</si>
  <si>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</si>
  <si>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</si>
  <si>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</si>
  <si>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</si>
  <si>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</si>
  <si>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</si>
  <si>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</si>
  <si>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</si>
  <si>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</si>
  <si>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</si>
  <si>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</si>
  <si>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</si>
  <si>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</si>
  <si>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</si>
  <si>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</si>
  <si>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</si>
  <si>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</si>
  <si>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</si>
  <si>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</si>
  <si>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</si>
  <si>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</si>
  <si>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</si>
  <si>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</si>
  <si>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</si>
  <si>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</si>
  <si>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</si>
  <si>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</si>
  <si>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</si>
  <si>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</si>
  <si>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</si>
  <si>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</si>
  <si>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</si>
  <si>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</si>
  <si>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</si>
  <si>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</si>
  <si>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</si>
  <si>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</si>
  <si>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</si>
  <si>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</si>
  <si>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</si>
  <si>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</si>
  <si>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</si>
  <si>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</si>
  <si>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</si>
  <si>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</si>
  <si>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</si>
  <si>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</si>
  <si>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</si>
  <si>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</si>
  <si>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</si>
  <si>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</si>
  <si>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</si>
  <si>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</si>
  <si>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</si>
  <si>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</si>
  <si>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</si>
  <si>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</si>
  <si>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</si>
  <si>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</si>
  <si>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</si>
  <si>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</si>
  <si>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</si>
  <si>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</si>
  <si>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</si>
  <si>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</si>
  <si>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</si>
  <si>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</si>
  <si>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</si>
  <si>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</si>
  <si>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</si>
  <si>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</si>
  <si>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</si>
  <si>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</si>
  <si>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</si>
  <si>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</si>
  <si>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</si>
  <si>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</si>
  <si>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</si>
  <si>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</si>
  <si>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</si>
  <si>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</si>
  <si>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</si>
  <si>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</si>
  <si>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</si>
  <si>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</si>
  <si>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</si>
  <si>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</si>
  <si>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</si>
  <si>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</si>
  <si>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</si>
  <si>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</si>
  <si>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</si>
  <si>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</si>
  <si>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</si>
  <si>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</si>
  <si>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</si>
  <si>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</si>
  <si>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</si>
  <si>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</si>
  <si>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</si>
  <si>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</si>
  <si>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</si>
  <si>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</si>
  <si>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</si>
  <si>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</si>
  <si>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</si>
  <si>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</si>
  <si>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</si>
  <si>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</si>
  <si>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</si>
  <si>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</si>
  <si>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</si>
  <si>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</si>
  <si>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</si>
  <si>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</si>
  <si>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</si>
  <si>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</si>
  <si>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</si>
  <si>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</si>
  <si>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</si>
  <si>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</si>
  <si>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</si>
  <si>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</si>
  <si>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</si>
  <si>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</si>
  <si>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</si>
  <si>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</si>
  <si>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</si>
  <si>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</si>
  <si>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</si>
  <si>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</si>
  <si>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</si>
  <si>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</si>
  <si>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</si>
  <si>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</si>
  <si>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</si>
  <si>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</si>
  <si>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</si>
  <si>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</si>
  <si>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</si>
  <si>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</si>
  <si>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</si>
  <si>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</si>
  <si>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</si>
  <si>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</si>
  <si>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</si>
  <si>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</si>
  <si>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</si>
  <si>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</si>
  <si>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</si>
  <si>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</si>
  <si>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</si>
  <si>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</si>
  <si>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</si>
  <si>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</si>
  <si>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</si>
  <si>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</si>
  <si>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</si>
  <si>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</si>
  <si>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</si>
  <si>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</si>
  <si>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</si>
  <si>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</si>
  <si>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</si>
  <si>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</si>
  <si>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</si>
  <si>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</si>
  <si>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</si>
  <si>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</si>
  <si>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</si>
  <si>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</si>
  <si>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</si>
  <si>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</si>
  <si>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</si>
  <si>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</si>
  <si>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</si>
  <si>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</si>
  <si>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</si>
  <si>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</si>
  <si>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</si>
  <si>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</si>
  <si>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</si>
  <si>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</si>
  <si>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</si>
  <si>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</si>
  <si>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</si>
  <si>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</si>
  <si>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</si>
  <si>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</si>
  <si>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</si>
  <si>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</si>
  <si>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</si>
  <si>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</si>
  <si>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</si>
  <si>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</si>
  <si>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</si>
  <si>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</si>
  <si>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</si>
  <si>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</si>
  <si>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</si>
  <si>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</si>
  <si>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</si>
  <si>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</si>
  <si>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</si>
  <si>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</si>
  <si>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</si>
  <si>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</si>
  <si>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</si>
  <si>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</si>
  <si>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</si>
  <si>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</si>
  <si>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</si>
  <si>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</si>
  <si>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</si>
  <si>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</si>
  <si>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</si>
  <si>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</si>
  <si>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</si>
  <si>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</si>
  <si>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</si>
  <si>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</si>
  <si>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</si>
  <si>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</si>
  <si>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</si>
  <si>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</si>
  <si>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</si>
  <si>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</si>
  <si>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</si>
  <si>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</si>
  <si>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</si>
  <si>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</si>
  <si>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</si>
  <si>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</si>
  <si>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</si>
  <si>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</si>
  <si>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</si>
  <si>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</si>
  <si>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</si>
  <si>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</si>
  <si>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</si>
  <si>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</si>
  <si>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</si>
  <si>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</si>
  <si>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</si>
  <si>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</si>
  <si>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</si>
  <si>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</si>
  <si>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</si>
  <si>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</si>
  <si>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</si>
  <si>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</si>
  <si>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</si>
  <si>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</si>
  <si>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</si>
  <si>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</si>
  <si>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</si>
  <si>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</si>
  <si>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</si>
  <si>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</si>
  <si>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</si>
  <si>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</si>
  <si>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</si>
  <si>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</si>
  <si>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</si>
  <si>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</si>
  <si>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</si>
  <si>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</si>
  <si>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</si>
  <si>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</si>
  <si>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</si>
  <si>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</si>
  <si>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</si>
  <si>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</si>
  <si>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</si>
  <si>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</si>
  <si>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</si>
  <si>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</si>
  <si>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</si>
  <si>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</si>
  <si>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</si>
  <si>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</si>
  <si>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</si>
  <si>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</si>
  <si>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</si>
  <si>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</si>
  <si>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</si>
  <si>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</si>
  <si>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</si>
  <si>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</si>
  <si>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</si>
  <si>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</si>
  <si>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</si>
  <si>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</si>
  <si>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</si>
  <si>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</si>
  <si>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</si>
  <si>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</si>
  <si>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</si>
  <si>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</si>
  <si>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</si>
  <si>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</si>
  <si>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</si>
  <si>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</si>
  <si>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</si>
  <si>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</si>
  <si>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</si>
  <si>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</si>
  <si>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</si>
  <si>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</si>
  <si>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</si>
  <si>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</si>
  <si>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</si>
  <si>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</si>
  <si>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</si>
  <si>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</si>
  <si>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</si>
  <si>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</si>
  <si>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</si>
  <si>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</si>
  <si>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</si>
  <si>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</si>
  <si>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</si>
  <si>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</si>
  <si>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</si>
  <si>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</si>
  <si>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</si>
  <si>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</si>
  <si>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</si>
  <si>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</si>
  <si>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</si>
  <si>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</si>
  <si>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</si>
  <si>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</si>
  <si>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</si>
  <si>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</si>
  <si>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</si>
  <si>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</si>
  <si>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</si>
  <si>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</si>
  <si>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</si>
  <si>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</si>
  <si>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</si>
  <si>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</si>
  <si>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</si>
  <si>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</si>
  <si>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</si>
  <si>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</si>
  <si>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</si>
  <si>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</si>
  <si>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</si>
  <si>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</si>
  <si>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</si>
  <si>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</si>
  <si>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</si>
  <si>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</si>
  <si>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</si>
  <si>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</si>
  <si>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</si>
  <si>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</si>
  <si>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</si>
  <si>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</si>
  <si>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</si>
  <si>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</si>
  <si>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</si>
  <si>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</si>
  <si>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</si>
  <si>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</si>
  <si>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</si>
  <si>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</si>
  <si>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</si>
  <si>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</si>
  <si>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</si>
  <si>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</si>
  <si>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</si>
  <si>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</si>
  <si>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</si>
  <si>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</si>
  <si>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</si>
  <si>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</si>
  <si>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</si>
  <si>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</si>
  <si>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</si>
  <si>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(Order Date)</t>
  </si>
  <si>
    <t>Saturday</t>
  </si>
  <si>
    <t>Wednesday</t>
  </si>
  <si>
    <t>Friday</t>
  </si>
  <si>
    <t>Sunday</t>
  </si>
  <si>
    <t>Monday</t>
  </si>
  <si>
    <t>Tuesday</t>
  </si>
  <si>
    <t>Thursday</t>
  </si>
  <si>
    <t>Sum of Revenue</t>
  </si>
  <si>
    <t>Average of Diff_order_delivery</t>
  </si>
  <si>
    <t>Average of Customer Spending</t>
  </si>
  <si>
    <t>Count of Order_ID</t>
  </si>
  <si>
    <t>Corelation between Order Quantity vs. Delivery Time</t>
  </si>
  <si>
    <t>Neutral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</si>
</sst>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quot;₹&quot;\ #,##0.00;#,##0.00\ \-&quot;₹&quot;;&quot;₹&quot;\ #,##0.00"/>
    <numFmt numFmtId="166" formatCode="0.000000000"/>
    <numFmt numFmtId="167"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2" borderId="0" xfId="0" applyFill="1"/>
    <xf numFmtId="167" fontId="0" fillId="0" borderId="0" xfId="0" applyNumberFormat="1"/>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colors>
    <mruColors>
      <color rgb="FFDBC1AC"/>
      <color rgb="FF996633"/>
      <color rgb="FFECB2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Sheet1!$J$18</c:f>
              <c:strCache>
                <c:ptCount val="1"/>
                <c:pt idx="0">
                  <c:v>Total</c:v>
                </c:pt>
              </c:strCache>
            </c:strRef>
          </c:tx>
          <c:spPr>
            <a:solidFill>
              <a:schemeClr val="accent1"/>
            </a:solidFill>
            <a:ln>
              <a:noFill/>
            </a:ln>
            <a:effectLst/>
          </c:spPr>
          <c:invertIfNegative val="0"/>
          <c:cat>
            <c:strRef>
              <c:f>Sheet1!$I$19:$I$26</c:f>
              <c:strCache>
                <c:ptCount val="7"/>
                <c:pt idx="0">
                  <c:v>All Occasions</c:v>
                </c:pt>
                <c:pt idx="1">
                  <c:v>Anniversary</c:v>
                </c:pt>
                <c:pt idx="2">
                  <c:v>Birthday</c:v>
                </c:pt>
                <c:pt idx="3">
                  <c:v>Diwali</c:v>
                </c:pt>
                <c:pt idx="4">
                  <c:v>Holi</c:v>
                </c:pt>
                <c:pt idx="5">
                  <c:v>Raksha Bandhan</c:v>
                </c:pt>
                <c:pt idx="6">
                  <c:v>Valentine's Day</c:v>
                </c:pt>
              </c:strCache>
            </c:strRef>
          </c:cat>
          <c:val>
            <c:numRef>
              <c:f>Sheet1!$J$19:$J$26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72FA-46CC-A7C4-83ED7CA9026A}"/>
            </c:ext>
          </c:extLst>
        </c:ser>
        <c:dLbls>
          <c:showLegendKey val="0"/>
          <c:showVal val="0"/>
          <c:showCatName val="0"/>
          <c:showSerName val="0"/>
          <c:showPercent val="0"/>
          <c:showBubbleSize val="0"/>
        </c:dLbls>
        <c:gapWidth val="219"/>
        <c:overlap val="-27"/>
        <c:axId val="818592752"/>
        <c:axId val="1721798304"/>
      </c:barChart>
      <c:catAx>
        <c:axId val="81859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798304"/>
        <c:crosses val="autoZero"/>
        <c:auto val="1"/>
        <c:lblAlgn val="ctr"/>
        <c:lblOffset val="100"/>
        <c:noMultiLvlLbl val="0"/>
      </c:catAx>
      <c:valAx>
        <c:axId val="1721798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59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Sheet1!$C$18</c:f>
              <c:strCache>
                <c:ptCount val="1"/>
                <c:pt idx="0">
                  <c:v>Total</c:v>
                </c:pt>
              </c:strCache>
            </c:strRef>
          </c:tx>
          <c:spPr>
            <a:solidFill>
              <a:schemeClr val="accent1"/>
            </a:solidFill>
            <a:ln>
              <a:noFill/>
            </a:ln>
            <a:effectLst/>
          </c:spPr>
          <c:invertIfNegative val="0"/>
          <c:cat>
            <c:strRef>
              <c:f>Sheet1!$B$19:$B$26</c:f>
              <c:strCache>
                <c:ptCount val="7"/>
                <c:pt idx="0">
                  <c:v>Cake</c:v>
                </c:pt>
                <c:pt idx="1">
                  <c:v>Colors</c:v>
                </c:pt>
                <c:pt idx="2">
                  <c:v>Mugs</c:v>
                </c:pt>
                <c:pt idx="3">
                  <c:v>Plants</c:v>
                </c:pt>
                <c:pt idx="4">
                  <c:v>Raksha Bandhan</c:v>
                </c:pt>
                <c:pt idx="5">
                  <c:v>Soft Toys</c:v>
                </c:pt>
                <c:pt idx="6">
                  <c:v>Sweets</c:v>
                </c:pt>
              </c:strCache>
            </c:strRef>
          </c:cat>
          <c:val>
            <c:numRef>
              <c:f>Sheet1!$C$19:$C$26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3A08-4F03-9606-3844F90AC42F}"/>
            </c:ext>
          </c:extLst>
        </c:ser>
        <c:dLbls>
          <c:showLegendKey val="0"/>
          <c:showVal val="0"/>
          <c:showCatName val="0"/>
          <c:showSerName val="0"/>
          <c:showPercent val="0"/>
          <c:showBubbleSize val="0"/>
        </c:dLbls>
        <c:gapWidth val="219"/>
        <c:axId val="56244479"/>
        <c:axId val="56244959"/>
      </c:barChart>
      <c:catAx>
        <c:axId val="5624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959"/>
        <c:crosses val="autoZero"/>
        <c:auto val="1"/>
        <c:lblAlgn val="ctr"/>
        <c:lblOffset val="100"/>
        <c:noMultiLvlLbl val="0"/>
      </c:catAx>
      <c:valAx>
        <c:axId val="562449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Analysis.xlsx]Sheet1!PivotTable2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A450-45A2-AA67-667AEAE6B1C3}"/>
            </c:ext>
          </c:extLst>
        </c:ser>
        <c:dLbls>
          <c:showLegendKey val="0"/>
          <c:showVal val="0"/>
          <c:showCatName val="0"/>
          <c:showSerName val="0"/>
          <c:showPercent val="0"/>
          <c:showBubbleSize val="0"/>
        </c:dLbls>
        <c:smooth val="0"/>
        <c:axId val="243857952"/>
        <c:axId val="243858912"/>
      </c:lineChart>
      <c:catAx>
        <c:axId val="24385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858912"/>
        <c:crosses val="autoZero"/>
        <c:auto val="1"/>
        <c:lblAlgn val="ctr"/>
        <c:lblOffset val="100"/>
        <c:noMultiLvlLbl val="0"/>
      </c:catAx>
      <c:valAx>
        <c:axId val="2438589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85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chemeClr val="accent1"/>
            </a:solidFill>
            <a:ln>
              <a:noFill/>
            </a:ln>
            <a:effectLst/>
          </c:spPr>
          <c:invertIfNegative val="0"/>
          <c:cat>
            <c:strRef>
              <c:f>Sheet1!$E$7:$E$12</c:f>
              <c:strCache>
                <c:ptCount val="5"/>
                <c:pt idx="0">
                  <c:v>Deserunt Box</c:v>
                </c:pt>
                <c:pt idx="1">
                  <c:v>Dolores Gift</c:v>
                </c:pt>
                <c:pt idx="2">
                  <c:v>Harum Pack</c:v>
                </c:pt>
                <c:pt idx="3">
                  <c:v>Magnam Set</c:v>
                </c:pt>
                <c:pt idx="4">
                  <c:v>Quia Gift</c:v>
                </c:pt>
              </c:strCache>
            </c:strRef>
          </c:cat>
          <c:val>
            <c:numRef>
              <c:f>Sheet1!$F$7:$F$12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3-1865-4549-8DF4-3DBE47F6D007}"/>
            </c:ext>
          </c:extLst>
        </c:ser>
        <c:dLbls>
          <c:showLegendKey val="0"/>
          <c:showVal val="0"/>
          <c:showCatName val="0"/>
          <c:showSerName val="0"/>
          <c:showPercent val="0"/>
          <c:showBubbleSize val="0"/>
        </c:dLbls>
        <c:gapWidth val="219"/>
        <c:overlap val="-27"/>
        <c:axId val="56243519"/>
        <c:axId val="56243999"/>
      </c:barChart>
      <c:catAx>
        <c:axId val="5624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3999"/>
        <c:crosses val="autoZero"/>
        <c:auto val="1"/>
        <c:lblAlgn val="ctr"/>
        <c:lblOffset val="100"/>
        <c:noMultiLvlLbl val="0"/>
      </c:catAx>
      <c:valAx>
        <c:axId val="562439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Sheet1!$F$18</c:f>
              <c:strCache>
                <c:ptCount val="1"/>
                <c:pt idx="0">
                  <c:v>Total</c:v>
                </c:pt>
              </c:strCache>
            </c:strRef>
          </c:tx>
          <c:spPr>
            <a:solidFill>
              <a:schemeClr val="accent1"/>
            </a:solidFill>
            <a:ln>
              <a:noFill/>
            </a:ln>
            <a:effectLst/>
          </c:spPr>
          <c:invertIfNegative val="0"/>
          <c:cat>
            <c:strRef>
              <c:f>Sheet1!$E$19:$E$29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Sheet1!$F$19:$F$29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A34D-491E-AF20-FC7CE441867C}"/>
            </c:ext>
          </c:extLst>
        </c:ser>
        <c:dLbls>
          <c:showLegendKey val="0"/>
          <c:showVal val="0"/>
          <c:showCatName val="0"/>
          <c:showSerName val="0"/>
          <c:showPercent val="0"/>
          <c:showBubbleSize val="0"/>
        </c:dLbls>
        <c:gapWidth val="219"/>
        <c:overlap val="-27"/>
        <c:axId val="48162799"/>
        <c:axId val="48162319"/>
      </c:barChart>
      <c:catAx>
        <c:axId val="4816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62319"/>
        <c:crosses val="autoZero"/>
        <c:auto val="1"/>
        <c:lblAlgn val="ctr"/>
        <c:lblOffset val="100"/>
        <c:noMultiLvlLbl val="0"/>
      </c:catAx>
      <c:valAx>
        <c:axId val="48162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62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Analysis.xlsx]Sheet1!PivotTable8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Sheet1!$C$31</c:f>
              <c:strCache>
                <c:ptCount val="1"/>
                <c:pt idx="0">
                  <c:v>Total</c:v>
                </c:pt>
              </c:strCache>
            </c:strRef>
          </c:tx>
          <c:spPr>
            <a:ln w="28575" cap="rnd">
              <a:solidFill>
                <a:schemeClr val="accent1"/>
              </a:solidFill>
              <a:round/>
            </a:ln>
            <a:effectLst/>
          </c:spPr>
          <c:marker>
            <c:symbol val="none"/>
          </c:marker>
          <c:cat>
            <c:strRef>
              <c:f>Sheet1!$B$32:$B$56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Sheet1!$C$32:$C$56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A431-49ED-BDEA-9E673908EA16}"/>
            </c:ext>
          </c:extLst>
        </c:ser>
        <c:dLbls>
          <c:showLegendKey val="0"/>
          <c:showVal val="0"/>
          <c:showCatName val="0"/>
          <c:showSerName val="0"/>
          <c:showPercent val="0"/>
          <c:showBubbleSize val="0"/>
        </c:dLbls>
        <c:smooth val="0"/>
        <c:axId val="51267087"/>
        <c:axId val="51267567"/>
      </c:lineChart>
      <c:catAx>
        <c:axId val="5126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67567"/>
        <c:crosses val="autoZero"/>
        <c:auto val="1"/>
        <c:lblAlgn val="ctr"/>
        <c:lblOffset val="100"/>
        <c:tickLblSkip val="2"/>
        <c:noMultiLvlLbl val="0"/>
      </c:catAx>
      <c:valAx>
        <c:axId val="512675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6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99060</xdr:colOff>
      <xdr:row>4</xdr:row>
      <xdr:rowOff>167640</xdr:rowOff>
    </xdr:from>
    <xdr:to>
      <xdr:col>6</xdr:col>
      <xdr:colOff>327660</xdr:colOff>
      <xdr:row>19</xdr:row>
      <xdr:rowOff>167640</xdr:rowOff>
    </xdr:to>
    <xdr:graphicFrame macro="">
      <xdr:nvGraphicFramePr>
        <xdr:cNvPr id="2" name="Chart 1">
          <a:extLst>
            <a:ext uri="{FF2B5EF4-FFF2-40B4-BE49-F238E27FC236}">
              <a16:creationId xmlns:a16="http://schemas.microsoft.com/office/drawing/2014/main" id="{5D14060B-1392-4758-845E-6CF54F79F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365760</xdr:colOff>
      <xdr:row>4</xdr:row>
      <xdr:rowOff>175260</xdr:rowOff>
    </xdr:from>
    <xdr:to>
      <xdr:col>12</xdr:col>
      <xdr:colOff>510540</xdr:colOff>
      <xdr:row>19</xdr:row>
      <xdr:rowOff>175260</xdr:rowOff>
    </xdr:to>
    <xdr:graphicFrame macro="">
      <xdr:nvGraphicFramePr>
        <xdr:cNvPr id="3" name="Chart 2">
          <a:extLst>
            <a:ext uri="{FF2B5EF4-FFF2-40B4-BE49-F238E27FC236}">
              <a16:creationId xmlns:a16="http://schemas.microsoft.com/office/drawing/2014/main" id="{4309106C-0985-447F-8A48-27015B658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20</xdr:row>
      <xdr:rowOff>45720</xdr:rowOff>
    </xdr:from>
    <xdr:to>
      <xdr:col>6</xdr:col>
      <xdr:colOff>320040</xdr:colOff>
      <xdr:row>35</xdr:row>
      <xdr:rowOff>45720</xdr:rowOff>
    </xdr:to>
    <xdr:graphicFrame macro="">
      <xdr:nvGraphicFramePr>
        <xdr:cNvPr id="4" name="Chart 3">
          <a:extLst>
            <a:ext uri="{FF2B5EF4-FFF2-40B4-BE49-F238E27FC236}">
              <a16:creationId xmlns:a16="http://schemas.microsoft.com/office/drawing/2014/main" id="{17DD0865-D4D4-43C3-B3B0-8ADF58B3E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365760</xdr:colOff>
      <xdr:row>20</xdr:row>
      <xdr:rowOff>45720</xdr:rowOff>
    </xdr:from>
    <xdr:to>
      <xdr:col>12</xdr:col>
      <xdr:colOff>510540</xdr:colOff>
      <xdr:row>35</xdr:row>
      <xdr:rowOff>45720</xdr:rowOff>
    </xdr:to>
    <xdr:graphicFrame macro="">
      <xdr:nvGraphicFramePr>
        <xdr:cNvPr id="5" name="Chart 4">
          <a:extLst>
            <a:ext uri="{FF2B5EF4-FFF2-40B4-BE49-F238E27FC236}">
              <a16:creationId xmlns:a16="http://schemas.microsoft.com/office/drawing/2014/main" id="{5377C935-493B-40E3-A63C-06BE1C7C0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548640</xdr:colOff>
      <xdr:row>20</xdr:row>
      <xdr:rowOff>45720</xdr:rowOff>
    </xdr:from>
    <xdr:to>
      <xdr:col>19</xdr:col>
      <xdr:colOff>83820</xdr:colOff>
      <xdr:row>35</xdr:row>
      <xdr:rowOff>45720</xdr:rowOff>
    </xdr:to>
    <xdr:graphicFrame macro="">
      <xdr:nvGraphicFramePr>
        <xdr:cNvPr id="6" name="Chart 5">
          <a:extLst>
            <a:ext uri="{FF2B5EF4-FFF2-40B4-BE49-F238E27FC236}">
              <a16:creationId xmlns:a16="http://schemas.microsoft.com/office/drawing/2014/main" id="{78BF0024-7A43-4991-847B-CFF83E1FD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548640</xdr:colOff>
      <xdr:row>4</xdr:row>
      <xdr:rowOff>160020</xdr:rowOff>
    </xdr:from>
    <xdr:to>
      <xdr:col>19</xdr:col>
      <xdr:colOff>83820</xdr:colOff>
      <xdr:row>19</xdr:row>
      <xdr:rowOff>160020</xdr:rowOff>
    </xdr:to>
    <xdr:graphicFrame macro="">
      <xdr:nvGraphicFramePr>
        <xdr:cNvPr id="7" name="Chart 6">
          <a:extLst>
            <a:ext uri="{FF2B5EF4-FFF2-40B4-BE49-F238E27FC236}">
              <a16:creationId xmlns:a16="http://schemas.microsoft.com/office/drawing/2014/main" id="{6B831BA8-86C5-4B70-84BE-633476516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548640</xdr:colOff>
      <xdr:row>0</xdr:row>
      <xdr:rowOff>114300</xdr:rowOff>
    </xdr:from>
    <xdr:to>
      <xdr:col>8</xdr:col>
      <xdr:colOff>60960</xdr:colOff>
      <xdr:row>4</xdr:row>
      <xdr:rowOff>114300</xdr:rowOff>
    </xdr:to>
    <xdr:sp macro="" textlink="Sheet1!E2">
      <xdr:nvSpPr>
        <xdr:cNvPr id="8" name="Rectangle: Rounded Corners 7">
          <a:extLst>
            <a:ext uri="{FF2B5EF4-FFF2-40B4-BE49-F238E27FC236}">
              <a16:creationId xmlns:a16="http://schemas.microsoft.com/office/drawing/2014/main" id="{D4BF41D9-8A9C-502E-5D72-A85F9C976F51}"/>
            </a:ext>
          </a:extLst>
        </xdr:cNvPr>
        <xdr:cNvSpPr/>
      </xdr:nvSpPr>
      <xdr:spPr>
        <a:xfrm>
          <a:off x="2987040" y="114300"/>
          <a:ext cx="1950720" cy="731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9C14CFA-1B34-4633-BA34-E41E3460A87F}"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IN" sz="1600"/>
        </a:p>
      </xdr:txBody>
    </xdr:sp>
    <xdr:clientData/>
  </xdr:twoCellAnchor>
  <xdr:twoCellAnchor>
    <xdr:from>
      <xdr:col>15</xdr:col>
      <xdr:colOff>251460</xdr:colOff>
      <xdr:row>0</xdr:row>
      <xdr:rowOff>106680</xdr:rowOff>
    </xdr:from>
    <xdr:to>
      <xdr:col>19</xdr:col>
      <xdr:colOff>53340</xdr:colOff>
      <xdr:row>4</xdr:row>
      <xdr:rowOff>91440</xdr:rowOff>
    </xdr:to>
    <xdr:sp macro="" textlink="Sheet1!H2">
      <xdr:nvSpPr>
        <xdr:cNvPr id="12" name="Rectangle: Rounded Corners 11">
          <a:extLst>
            <a:ext uri="{FF2B5EF4-FFF2-40B4-BE49-F238E27FC236}">
              <a16:creationId xmlns:a16="http://schemas.microsoft.com/office/drawing/2014/main" id="{2E0C5186-C3AC-4381-B858-DB7C5B5FCE49}"/>
            </a:ext>
          </a:extLst>
        </xdr:cNvPr>
        <xdr:cNvSpPr/>
      </xdr:nvSpPr>
      <xdr:spPr>
        <a:xfrm>
          <a:off x="9395460" y="106680"/>
          <a:ext cx="2240280" cy="716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BAF1DBB-472B-4B7E-AFAE-AAA802CFA137}"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a:t>
          </a:r>
          <a:r>
            <a:rPr lang="en-US" sz="1600" b="0" i="0" u="none" strike="noStrike" baseline="0">
              <a:solidFill>
                <a:srgbClr val="000000"/>
              </a:solidFill>
              <a:latin typeface="Calibri"/>
              <a:ea typeface="Calibri"/>
              <a:cs typeface="Calibri"/>
            </a:rPr>
            <a:t> Customer's Spent</a:t>
          </a:r>
          <a:endParaRPr lang="en-IN" sz="1600"/>
        </a:p>
      </xdr:txBody>
    </xdr:sp>
    <xdr:clientData/>
  </xdr:twoCellAnchor>
  <xdr:twoCellAnchor>
    <xdr:from>
      <xdr:col>11</xdr:col>
      <xdr:colOff>487680</xdr:colOff>
      <xdr:row>0</xdr:row>
      <xdr:rowOff>91440</xdr:rowOff>
    </xdr:from>
    <xdr:to>
      <xdr:col>15</xdr:col>
      <xdr:colOff>175260</xdr:colOff>
      <xdr:row>4</xdr:row>
      <xdr:rowOff>106680</xdr:rowOff>
    </xdr:to>
    <xdr:sp macro="" textlink="Sheet1!G2">
      <xdr:nvSpPr>
        <xdr:cNvPr id="13" name="Rectangle: Rounded Corners 12">
          <a:extLst>
            <a:ext uri="{FF2B5EF4-FFF2-40B4-BE49-F238E27FC236}">
              <a16:creationId xmlns:a16="http://schemas.microsoft.com/office/drawing/2014/main" id="{B960F17F-B176-4F6F-A080-55ED4206E3F9}"/>
            </a:ext>
          </a:extLst>
        </xdr:cNvPr>
        <xdr:cNvSpPr/>
      </xdr:nvSpPr>
      <xdr:spPr>
        <a:xfrm>
          <a:off x="7193280" y="91440"/>
          <a:ext cx="2125980" cy="746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FA20AE-C7F5-421E-BEA0-45DF77D37983}"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a:t>
          </a:r>
          <a:r>
            <a:rPr lang="en-US" sz="1600" b="0" i="0" u="none" strike="noStrike" baseline="0">
              <a:solidFill>
                <a:srgbClr val="000000"/>
              </a:solidFill>
              <a:latin typeface="Calibri"/>
              <a:ea typeface="Calibri"/>
              <a:cs typeface="Calibri"/>
            </a:rPr>
            <a:t>-Delivery Time</a:t>
          </a:r>
          <a:endParaRPr lang="en-IN" sz="1600"/>
        </a:p>
      </xdr:txBody>
    </xdr:sp>
    <xdr:clientData/>
  </xdr:twoCellAnchor>
  <xdr:twoCellAnchor>
    <xdr:from>
      <xdr:col>8</xdr:col>
      <xdr:colOff>152400</xdr:colOff>
      <xdr:row>0</xdr:row>
      <xdr:rowOff>106680</xdr:rowOff>
    </xdr:from>
    <xdr:to>
      <xdr:col>11</xdr:col>
      <xdr:colOff>388620</xdr:colOff>
      <xdr:row>4</xdr:row>
      <xdr:rowOff>114300</xdr:rowOff>
    </xdr:to>
    <xdr:sp macro="" textlink="Sheet1!F2">
      <xdr:nvSpPr>
        <xdr:cNvPr id="14" name="Rectangle: Rounded Corners 13">
          <a:extLst>
            <a:ext uri="{FF2B5EF4-FFF2-40B4-BE49-F238E27FC236}">
              <a16:creationId xmlns:a16="http://schemas.microsoft.com/office/drawing/2014/main" id="{E8CDD60C-8A23-408C-8CD5-FA3757288EFA}"/>
            </a:ext>
          </a:extLst>
        </xdr:cNvPr>
        <xdr:cNvSpPr/>
      </xdr:nvSpPr>
      <xdr:spPr>
        <a:xfrm>
          <a:off x="5029200" y="106680"/>
          <a:ext cx="206502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12E01A4-F67E-44B7-9187-8A2E2C643550}"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editAs="oneCell">
    <xdr:from>
      <xdr:col>19</xdr:col>
      <xdr:colOff>167640</xdr:colOff>
      <xdr:row>16</xdr:row>
      <xdr:rowOff>83820</xdr:rowOff>
    </xdr:from>
    <xdr:to>
      <xdr:col>22</xdr:col>
      <xdr:colOff>601980</xdr:colOff>
      <xdr:row>35</xdr:row>
      <xdr:rowOff>22860</xdr:rowOff>
    </xdr:to>
    <mc:AlternateContent xmlns:mc="http://schemas.openxmlformats.org/markup-compatibility/2006" xmlns:a14="http://schemas.microsoft.com/office/drawing/2010/main">
      <mc:Choice Requires="a14">
        <xdr:graphicFrame macro="">
          <xdr:nvGraphicFramePr>
            <xdr:cNvPr id="15" name="Occasion">
              <a:extLst>
                <a:ext uri="{FF2B5EF4-FFF2-40B4-BE49-F238E27FC236}">
                  <a16:creationId xmlns:a16="http://schemas.microsoft.com/office/drawing/2014/main" id="{475BCB86-320C-47C9-AB2F-E36C1B77F8C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750040" y="3009900"/>
              <a:ext cx="2263140" cy="3413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160020</xdr:colOff>
      <xdr:row>0</xdr:row>
      <xdr:rowOff>91440</xdr:rowOff>
    </xdr:from>
    <xdr:to>
      <xdr:col>22</xdr:col>
      <xdr:colOff>586740</xdr:colOff>
      <xdr:row>8</xdr:row>
      <xdr:rowOff>0</xdr:rowOff>
    </xdr:to>
    <mc:AlternateContent xmlns:mc="http://schemas.openxmlformats.org/markup-compatibility/2006" xmlns:tsle="http://schemas.microsoft.com/office/drawing/2012/timeslicer">
      <mc:Choice Requires="tsle">
        <xdr:graphicFrame macro="">
          <xdr:nvGraphicFramePr>
            <xdr:cNvPr id="16" name="Order_Date">
              <a:extLst>
                <a:ext uri="{FF2B5EF4-FFF2-40B4-BE49-F238E27FC236}">
                  <a16:creationId xmlns:a16="http://schemas.microsoft.com/office/drawing/2014/main" id="{3C376E62-A83A-B7AF-8D8A-454F10BA59A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742420" y="91440"/>
              <a:ext cx="22555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167640</xdr:colOff>
      <xdr:row>8</xdr:row>
      <xdr:rowOff>106680</xdr:rowOff>
    </xdr:from>
    <xdr:to>
      <xdr:col>22</xdr:col>
      <xdr:colOff>601980</xdr:colOff>
      <xdr:row>16</xdr:row>
      <xdr:rowOff>15240</xdr:rowOff>
    </xdr:to>
    <mc:AlternateContent xmlns:mc="http://schemas.openxmlformats.org/markup-compatibility/2006" xmlns:tsle="http://schemas.microsoft.com/office/drawing/2012/timeslicer">
      <mc:Choice Requires="tsle">
        <xdr:graphicFrame macro="">
          <xdr:nvGraphicFramePr>
            <xdr:cNvPr id="17" name="Delivery_Date">
              <a:extLst>
                <a:ext uri="{FF2B5EF4-FFF2-40B4-BE49-F238E27FC236}">
                  <a16:creationId xmlns:a16="http://schemas.microsoft.com/office/drawing/2014/main" id="{DBC5B83D-2BCF-51AC-4CCC-BDAE7C50A74C}"/>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750040" y="1569720"/>
              <a:ext cx="22631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114300</xdr:colOff>
      <xdr:row>0</xdr:row>
      <xdr:rowOff>114300</xdr:rowOff>
    </xdr:from>
    <xdr:to>
      <xdr:col>4</xdr:col>
      <xdr:colOff>320040</xdr:colOff>
      <xdr:row>4</xdr:row>
      <xdr:rowOff>99060</xdr:rowOff>
    </xdr:to>
    <xdr:sp macro="" textlink="">
      <xdr:nvSpPr>
        <xdr:cNvPr id="18" name="Rectangle: Rounded Corners 17">
          <a:extLst>
            <a:ext uri="{FF2B5EF4-FFF2-40B4-BE49-F238E27FC236}">
              <a16:creationId xmlns:a16="http://schemas.microsoft.com/office/drawing/2014/main" id="{682DF9A6-4158-4680-A4BA-E096798E8CF8}"/>
            </a:ext>
          </a:extLst>
        </xdr:cNvPr>
        <xdr:cNvSpPr/>
      </xdr:nvSpPr>
      <xdr:spPr>
        <a:xfrm>
          <a:off x="114300" y="114300"/>
          <a:ext cx="2644140" cy="716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400" b="0" i="0" u="none" strike="noStrike">
              <a:solidFill>
                <a:srgbClr val="000000"/>
              </a:solidFill>
              <a:latin typeface="Calibri"/>
              <a:ea typeface="Calibri"/>
              <a:cs typeface="Calibri"/>
            </a:rPr>
            <a:t>Sales Analysis</a:t>
          </a:r>
        </a:p>
      </xdr:txBody>
    </xdr:sp>
    <xdr:clientData/>
  </xdr:twoCellAnchor>
  <xdr:twoCellAnchor editAs="oneCell">
    <xdr:from>
      <xdr:col>0</xdr:col>
      <xdr:colOff>236221</xdr:colOff>
      <xdr:row>0</xdr:row>
      <xdr:rowOff>160021</xdr:rowOff>
    </xdr:from>
    <xdr:to>
      <xdr:col>1</xdr:col>
      <xdr:colOff>236220</xdr:colOff>
      <xdr:row>4</xdr:row>
      <xdr:rowOff>38100</xdr:rowOff>
    </xdr:to>
    <xdr:pic>
      <xdr:nvPicPr>
        <xdr:cNvPr id="20" name="Picture 19">
          <a:extLst>
            <a:ext uri="{FF2B5EF4-FFF2-40B4-BE49-F238E27FC236}">
              <a16:creationId xmlns:a16="http://schemas.microsoft.com/office/drawing/2014/main" id="{9EDD7125-5A17-FF40-4649-EFD58FDDA30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36221" y="160021"/>
          <a:ext cx="609599" cy="60959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EET" refreshedDate="45908.189469097226" backgroundQuery="1" createdVersion="8" refreshedVersion="8" minRefreshableVersion="3" recordCount="0" supportSubquery="1" supportAdvancedDrill="1" xr:uid="{22CF0FE9-8BC3-44AB-9275-3FD2F98FBED8}">
  <cacheSource type="external" connectionId="9"/>
  <cacheFields count="3">
    <cacheField name="[Measures].[Sum of Revenue]" caption="Sum of Revenue" numFmtId="0" hierarchy="38"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unt="7">
        <s v="All Occasions"/>
        <s v="Anniversary"/>
        <s v="Birthday"/>
        <s v="Diwali"/>
        <s v="Holi"/>
        <s v="Raksha Bandhan"/>
        <s v="Valentine's Day"/>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aw Datasets].[Content]" caption="Content" attribute="1" defaultMemberUniqueName="[Raw Datasets].[Content].[All]" allUniqueName="[Raw Datasets].[Content].[All]" dimensionUniqueName="[Raw Datasets]" displayFolder="" count="0" memberValueDatatype="130" unbalanced="0"/>
    <cacheHierarchy uniqueName="[Raw Datasets].[Name]" caption="Name" attribute="1" defaultMemberUniqueName="[Raw Datasets].[Name].[All]" allUniqueName="[Raw Datasets].[Name].[All]" dimensionUniqueName="[Raw Datasets]" displayFolder="" count="0" memberValueDatatype="130" unbalanced="0"/>
    <cacheHierarchy uniqueName="[Raw Datasets].[Extension]" caption="Extension" attribute="1" defaultMemberUniqueName="[Raw Datasets].[Extension].[All]" allUniqueName="[Raw Datasets].[Extension].[All]" dimensionUniqueName="[Raw Datasets]" displayFolder="" count="0" memberValueDatatype="130" unbalanced="0"/>
    <cacheHierarchy uniqueName="[Raw Datasets].[Date accessed]" caption="Date accessed" attribute="1" time="1" defaultMemberUniqueName="[Raw Datasets].[Date accessed].[All]" allUniqueName="[Raw Datasets].[Date accessed].[All]" dimensionUniqueName="[Raw Datasets]" displayFolder="" count="0" memberValueDatatype="7" unbalanced="0"/>
    <cacheHierarchy uniqueName="[Raw Datasets].[Date modified]" caption="Date modified" attribute="1" time="1" defaultMemberUniqueName="[Raw Datasets].[Date modified].[All]" allUniqueName="[Raw Datasets].[Date modified].[All]" dimensionUniqueName="[Raw Datasets]" displayFolder="" count="0" memberValueDatatype="7" unbalanced="0"/>
    <cacheHierarchy uniqueName="[Raw Datasets].[Date created]" caption="Date created" attribute="1" time="1" defaultMemberUniqueName="[Raw Datasets].[Date created].[All]" allUniqueName="[Raw Datasets].[Date created].[All]" dimensionUniqueName="[Raw Datasets]" displayFolder="" count="0" memberValueDatatype="7" unbalanced="0"/>
    <cacheHierarchy uniqueName="[Raw Datasets].[Folder Path]" caption="Folder Path" attribute="1" defaultMemberUniqueName="[Raw Datasets].[Folder Path].[All]" allUniqueName="[Raw Datasets].[Folder Path].[All]" dimensionUniqueName="[Raw Datase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Raw Datasets]" caption="__XL_Count Raw Datasets" measure="1" displayFolder="" measureGroup="Raw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aw Datasets" uniqueName="[Raw Datasets]" caption="Raw Datasets"/>
  </dimensions>
  <measureGroups count="4">
    <measureGroup name="Customers" caption="Customers"/>
    <measureGroup name="Orders" caption="Orders"/>
    <measureGroup name="Products" caption="Products"/>
    <measureGroup name="Raw Datasets" caption="Raw 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EET" refreshedDate="45908.198217939818" backgroundQuery="1" createdVersion="8" refreshedVersion="8" minRefreshableVersion="3" recordCount="0" supportSubquery="1" supportAdvancedDrill="1" xr:uid="{FBCFFD15-40E3-4C6E-8FE5-409CB2292117}">
  <cacheSource type="external" connectionId="9"/>
  <cacheFields count="4">
    <cacheField name="[Measures].[Sum of Revenue]" caption="Sum of Revenue" numFmtId="0" hierarchy="38"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aw Datasets].[Content]" caption="Content" attribute="1" defaultMemberUniqueName="[Raw Datasets].[Content].[All]" allUniqueName="[Raw Datasets].[Content].[All]" dimensionUniqueName="[Raw Datasets]" displayFolder="" count="0" memberValueDatatype="130" unbalanced="0"/>
    <cacheHierarchy uniqueName="[Raw Datasets].[Name]" caption="Name" attribute="1" defaultMemberUniqueName="[Raw Datasets].[Name].[All]" allUniqueName="[Raw Datasets].[Name].[All]" dimensionUniqueName="[Raw Datasets]" displayFolder="" count="0" memberValueDatatype="130" unbalanced="0"/>
    <cacheHierarchy uniqueName="[Raw Datasets].[Extension]" caption="Extension" attribute="1" defaultMemberUniqueName="[Raw Datasets].[Extension].[All]" allUniqueName="[Raw Datasets].[Extension].[All]" dimensionUniqueName="[Raw Datasets]" displayFolder="" count="0" memberValueDatatype="130" unbalanced="0"/>
    <cacheHierarchy uniqueName="[Raw Datasets].[Date accessed]" caption="Date accessed" attribute="1" time="1" defaultMemberUniqueName="[Raw Datasets].[Date accessed].[All]" allUniqueName="[Raw Datasets].[Date accessed].[All]" dimensionUniqueName="[Raw Datasets]" displayFolder="" count="0" memberValueDatatype="7" unbalanced="0"/>
    <cacheHierarchy uniqueName="[Raw Datasets].[Date modified]" caption="Date modified" attribute="1" time="1" defaultMemberUniqueName="[Raw Datasets].[Date modified].[All]" allUniqueName="[Raw Datasets].[Date modified].[All]" dimensionUniqueName="[Raw Datasets]" displayFolder="" count="0" memberValueDatatype="7" unbalanced="0"/>
    <cacheHierarchy uniqueName="[Raw Datasets].[Date created]" caption="Date created" attribute="1" time="1" defaultMemberUniqueName="[Raw Datasets].[Date created].[All]" allUniqueName="[Raw Datasets].[Date created].[All]" dimensionUniqueName="[Raw Datasets]" displayFolder="" count="0" memberValueDatatype="7" unbalanced="0"/>
    <cacheHierarchy uniqueName="[Raw Datasets].[Folder Path]" caption="Folder Path" attribute="1" defaultMemberUniqueName="[Raw Datasets].[Folder Path].[All]" allUniqueName="[Raw Datasets].[Folder Path].[All]" dimensionUniqueName="[Raw Datase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Raw Datasets]" caption="__XL_Count Raw Datasets" measure="1" displayFolder="" measureGroup="Raw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aw Datasets" uniqueName="[Raw Datasets]" caption="Raw Datasets"/>
  </dimensions>
  <measureGroups count="4">
    <measureGroup name="Customers" caption="Customers"/>
    <measureGroup name="Orders" caption="Orders"/>
    <measureGroup name="Products" caption="Products"/>
    <measureGroup name="Raw Datasets" caption="Raw 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EET" refreshedDate="45908.198222569445" backgroundQuery="1" createdVersion="8" refreshedVersion="8" minRefreshableVersion="3" recordCount="0" supportSubquery="1" supportAdvancedDrill="1" xr:uid="{89FDDD10-844A-4828-84FC-20449D570028}">
  <cacheSource type="external" connectionId="9"/>
  <cacheFields count="6">
    <cacheField name="[Measures].[Sum of Revenue]" caption="Sum of Revenue" numFmtId="0" hierarchy="38"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Orders].[Day Name (Order Date)].[Day Name (Order Date)]" caption="Day Name (Order Date)" numFmtId="0" hierarchy="23" level="1">
      <sharedItems count="7">
        <s v="Friday"/>
        <s v="Monday"/>
        <s v="Saturday"/>
        <s v="Sunday"/>
        <s v="Thursday"/>
        <s v="Tuesday"/>
        <s v="Wednesday"/>
      </sharedItems>
    </cacheField>
    <cacheField name="[Orders].[Hour [Order Time]]].[Hour [Order Time]]]" caption="Hour [Order 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16"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4"/>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aw Datasets].[Content]" caption="Content" attribute="1" defaultMemberUniqueName="[Raw Datasets].[Content].[All]" allUniqueName="[Raw Datasets].[Content].[All]" dimensionUniqueName="[Raw Datasets]" displayFolder="" count="0" memberValueDatatype="130" unbalanced="0"/>
    <cacheHierarchy uniqueName="[Raw Datasets].[Name]" caption="Name" attribute="1" defaultMemberUniqueName="[Raw Datasets].[Name].[All]" allUniqueName="[Raw Datasets].[Name].[All]" dimensionUniqueName="[Raw Datasets]" displayFolder="" count="0" memberValueDatatype="130" unbalanced="0"/>
    <cacheHierarchy uniqueName="[Raw Datasets].[Extension]" caption="Extension" attribute="1" defaultMemberUniqueName="[Raw Datasets].[Extension].[All]" allUniqueName="[Raw Datasets].[Extension].[All]" dimensionUniqueName="[Raw Datasets]" displayFolder="" count="0" memberValueDatatype="130" unbalanced="0"/>
    <cacheHierarchy uniqueName="[Raw Datasets].[Date accessed]" caption="Date accessed" attribute="1" time="1" defaultMemberUniqueName="[Raw Datasets].[Date accessed].[All]" allUniqueName="[Raw Datasets].[Date accessed].[All]" dimensionUniqueName="[Raw Datasets]" displayFolder="" count="0" memberValueDatatype="7" unbalanced="0"/>
    <cacheHierarchy uniqueName="[Raw Datasets].[Date modified]" caption="Date modified" attribute="1" time="1" defaultMemberUniqueName="[Raw Datasets].[Date modified].[All]" allUniqueName="[Raw Datasets].[Date modified].[All]" dimensionUniqueName="[Raw Datasets]" displayFolder="" count="0" memberValueDatatype="7" unbalanced="0"/>
    <cacheHierarchy uniqueName="[Raw Datasets].[Date created]" caption="Date created" attribute="1" time="1" defaultMemberUniqueName="[Raw Datasets].[Date created].[All]" allUniqueName="[Raw Datasets].[Date created].[All]" dimensionUniqueName="[Raw Datasets]" displayFolder="" count="0" memberValueDatatype="7" unbalanced="0"/>
    <cacheHierarchy uniqueName="[Raw Datasets].[Folder Path]" caption="Folder Path" attribute="1" defaultMemberUniqueName="[Raw Datasets].[Folder Path].[All]" allUniqueName="[Raw Datasets].[Folder Path].[All]" dimensionUniqueName="[Raw Datase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Raw Datasets]" caption="__XL_Count Raw Datasets" measure="1" displayFolder="" measureGroup="Raw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aw Datasets" uniqueName="[Raw Datasets]" caption="Raw Datasets"/>
  </dimensions>
  <measureGroups count="4">
    <measureGroup name="Customers" caption="Customers"/>
    <measureGroup name="Orders" caption="Orders"/>
    <measureGroup name="Products" caption="Products"/>
    <measureGroup name="Raw Datasets" caption="Raw 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EET" refreshedDate="45908.198224189815" backgroundQuery="1" createdVersion="8" refreshedVersion="8" minRefreshableVersion="3" recordCount="0" supportSubquery="1" supportAdvancedDrill="1" xr:uid="{466C83C2-4F79-4DC2-AD6D-4018BA74BA89}">
  <cacheSource type="external" connectionId="9"/>
  <cacheFields count="4">
    <cacheField name="[Measures].[Sum of Revenue]" caption="Sum of Revenue" numFmtId="0" hierarchy="38"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rder_Date].[Order_Date]" caption="Order_Date" numFmtId="0" hierarchy="11" level="1">
      <sharedItems containsSemiMixedTypes="0" containsNonDate="0" containsString="0"/>
    </cacheField>
    <cacheField name="[Orders].[Occasion].[Occasion]" caption="Occasion" numFmtId="0" hierarchy="16"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aw Datasets].[Content]" caption="Content" attribute="1" defaultMemberUniqueName="[Raw Datasets].[Content].[All]" allUniqueName="[Raw Datasets].[Content].[All]" dimensionUniqueName="[Raw Datasets]" displayFolder="" count="0" memberValueDatatype="130" unbalanced="0"/>
    <cacheHierarchy uniqueName="[Raw Datasets].[Name]" caption="Name" attribute="1" defaultMemberUniqueName="[Raw Datasets].[Name].[All]" allUniqueName="[Raw Datasets].[Name].[All]" dimensionUniqueName="[Raw Datasets]" displayFolder="" count="0" memberValueDatatype="130" unbalanced="0"/>
    <cacheHierarchy uniqueName="[Raw Datasets].[Extension]" caption="Extension" attribute="1" defaultMemberUniqueName="[Raw Datasets].[Extension].[All]" allUniqueName="[Raw Datasets].[Extension].[All]" dimensionUniqueName="[Raw Datasets]" displayFolder="" count="0" memberValueDatatype="130" unbalanced="0"/>
    <cacheHierarchy uniqueName="[Raw Datasets].[Date accessed]" caption="Date accessed" attribute="1" time="1" defaultMemberUniqueName="[Raw Datasets].[Date accessed].[All]" allUniqueName="[Raw Datasets].[Date accessed].[All]" dimensionUniqueName="[Raw Datasets]" displayFolder="" count="0" memberValueDatatype="7" unbalanced="0"/>
    <cacheHierarchy uniqueName="[Raw Datasets].[Date modified]" caption="Date modified" attribute="1" time="1" defaultMemberUniqueName="[Raw Datasets].[Date modified].[All]" allUniqueName="[Raw Datasets].[Date modified].[All]" dimensionUniqueName="[Raw Datasets]" displayFolder="" count="0" memberValueDatatype="7" unbalanced="0"/>
    <cacheHierarchy uniqueName="[Raw Datasets].[Date created]" caption="Date created" attribute="1" time="1" defaultMemberUniqueName="[Raw Datasets].[Date created].[All]" allUniqueName="[Raw Datasets].[Date created].[All]" dimensionUniqueName="[Raw Datasets]" displayFolder="" count="0" memberValueDatatype="7" unbalanced="0"/>
    <cacheHierarchy uniqueName="[Raw Datasets].[Folder Path]" caption="Folder Path" attribute="1" defaultMemberUniqueName="[Raw Datasets].[Folder Path].[All]" allUniqueName="[Raw Datasets].[Folder Path].[All]" dimensionUniqueName="[Raw Datase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Raw Datasets]" caption="__XL_Count Raw Datasets" measure="1" displayFolder="" measureGroup="Raw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aw Datasets" uniqueName="[Raw Datasets]" caption="Raw Datasets"/>
  </dimensions>
  <measureGroups count="4">
    <measureGroup name="Customers" caption="Customers"/>
    <measureGroup name="Orders" caption="Orders"/>
    <measureGroup name="Products" caption="Products"/>
    <measureGroup name="Raw Datasets" caption="Raw 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EET" refreshedDate="45908.198225231485" backgroundQuery="1" createdVersion="8" refreshedVersion="8" minRefreshableVersion="3" recordCount="0" supportSubquery="1" supportAdvancedDrill="1" xr:uid="{5A25F62C-D124-4657-AF0D-3230BF984AD0}">
  <cacheSource type="external" connectionId="9"/>
  <cacheFields count="5">
    <cacheField name="[Measures].[Sum of Revenue]" caption="Sum of Revenue" numFmtId="0" hierarchy="38" level="32767"/>
    <cacheField name="[Measures].[Average of Diff_order_delivery]" caption="Average of Diff_order_delivery" numFmtId="0" hierarchy="40" level="32767"/>
    <cacheField name="[Measures].[Average of Revenue]" caption="Average of Revenue" numFmtId="0" hierarchy="41" level="32767"/>
    <cacheField name="[Measures].[Count of Order_ID]" caption="Count of Order_ID" numFmtId="0" hierarchy="43" level="32767"/>
    <cacheField name="[Orders].[Occasion].[Occasion]" caption="Occasion" numFmtId="0" hierarchy="16"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aw Datasets].[Content]" caption="Content" attribute="1" defaultMemberUniqueName="[Raw Datasets].[Content].[All]" allUniqueName="[Raw Datasets].[Content].[All]" dimensionUniqueName="[Raw Datasets]" displayFolder="" count="0" memberValueDatatype="130" unbalanced="0"/>
    <cacheHierarchy uniqueName="[Raw Datasets].[Name]" caption="Name" attribute="1" defaultMemberUniqueName="[Raw Datasets].[Name].[All]" allUniqueName="[Raw Datasets].[Name].[All]" dimensionUniqueName="[Raw Datasets]" displayFolder="" count="0" memberValueDatatype="130" unbalanced="0"/>
    <cacheHierarchy uniqueName="[Raw Datasets].[Extension]" caption="Extension" attribute="1" defaultMemberUniqueName="[Raw Datasets].[Extension].[All]" allUniqueName="[Raw Datasets].[Extension].[All]" dimensionUniqueName="[Raw Datasets]" displayFolder="" count="0" memberValueDatatype="130" unbalanced="0"/>
    <cacheHierarchy uniqueName="[Raw Datasets].[Date accessed]" caption="Date accessed" attribute="1" time="1" defaultMemberUniqueName="[Raw Datasets].[Date accessed].[All]" allUniqueName="[Raw Datasets].[Date accessed].[All]" dimensionUniqueName="[Raw Datasets]" displayFolder="" count="0" memberValueDatatype="7" unbalanced="0"/>
    <cacheHierarchy uniqueName="[Raw Datasets].[Date modified]" caption="Date modified" attribute="1" time="1" defaultMemberUniqueName="[Raw Datasets].[Date modified].[All]" allUniqueName="[Raw Datasets].[Date modified].[All]" dimensionUniqueName="[Raw Datasets]" displayFolder="" count="0" memberValueDatatype="7" unbalanced="0"/>
    <cacheHierarchy uniqueName="[Raw Datasets].[Date created]" caption="Date created" attribute="1" time="1" defaultMemberUniqueName="[Raw Datasets].[Date created].[All]" allUniqueName="[Raw Datasets].[Date created].[All]" dimensionUniqueName="[Raw Datasets]" displayFolder="" count="0" memberValueDatatype="7" unbalanced="0"/>
    <cacheHierarchy uniqueName="[Raw Datasets].[Folder Path]" caption="Folder Path" attribute="1" defaultMemberUniqueName="[Raw Datasets].[Folder Path].[All]" allUniqueName="[Raw Datasets].[Folder Path].[All]" dimensionUniqueName="[Raw Datase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Raw Datasets]" caption="__XL_Count Raw Datasets" measure="1" displayFolder="" measureGroup="Raw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aw Datasets" uniqueName="[Raw Datasets]" caption="Raw Datasets"/>
  </dimensions>
  <measureGroups count="4">
    <measureGroup name="Customers" caption="Customers"/>
    <measureGroup name="Orders" caption="Orders"/>
    <measureGroup name="Products" caption="Products"/>
    <measureGroup name="Raw Datasets" caption="Raw 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EET" refreshedDate="45908.198226273147" backgroundQuery="1" createdVersion="8" refreshedVersion="8" minRefreshableVersion="3" recordCount="0" supportSubquery="1" supportAdvancedDrill="1" xr:uid="{44722849-6067-41B2-84EB-B1AD91FE3486}">
  <cacheSource type="external" connectionId="9"/>
  <cacheFields count="4">
    <cacheField name="[Measures].[Sum of Revenue]" caption="Sum of Revenue" numFmtId="0" hierarchy="38"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26"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Raw Datasets].[Content]" caption="Content" attribute="1" defaultMemberUniqueName="[Raw Datasets].[Content].[All]" allUniqueName="[Raw Datasets].[Content].[All]" dimensionUniqueName="[Raw Datasets]" displayFolder="" count="2" memberValueDatatype="130" unbalanced="0"/>
    <cacheHierarchy uniqueName="[Raw Datasets].[Name]" caption="Name" attribute="1" defaultMemberUniqueName="[Raw Datasets].[Name].[All]" allUniqueName="[Raw Datasets].[Name].[All]" dimensionUniqueName="[Raw Datasets]" displayFolder="" count="2" memberValueDatatype="130" unbalanced="0"/>
    <cacheHierarchy uniqueName="[Raw Datasets].[Extension]" caption="Extension" attribute="1" defaultMemberUniqueName="[Raw Datasets].[Extension].[All]" allUniqueName="[Raw Datasets].[Extension].[All]" dimensionUniqueName="[Raw Datasets]" displayFolder="" count="2" memberValueDatatype="130" unbalanced="0"/>
    <cacheHierarchy uniqueName="[Raw Datasets].[Date accessed]" caption="Date accessed" attribute="1" time="1" defaultMemberUniqueName="[Raw Datasets].[Date accessed].[All]" allUniqueName="[Raw Datasets].[Date accessed].[All]" dimensionUniqueName="[Raw Datasets]" displayFolder="" count="2" memberValueDatatype="7" unbalanced="0"/>
    <cacheHierarchy uniqueName="[Raw Datasets].[Date modified]" caption="Date modified" attribute="1" time="1" defaultMemberUniqueName="[Raw Datasets].[Date modified].[All]" allUniqueName="[Raw Datasets].[Date modified].[All]" dimensionUniqueName="[Raw Datasets]" displayFolder="" count="2" memberValueDatatype="7" unbalanced="0"/>
    <cacheHierarchy uniqueName="[Raw Datasets].[Date created]" caption="Date created" attribute="1" time="1" defaultMemberUniqueName="[Raw Datasets].[Date created].[All]" allUniqueName="[Raw Datasets].[Date created].[All]" dimensionUniqueName="[Raw Datasets]" displayFolder="" count="2" memberValueDatatype="7" unbalanced="0"/>
    <cacheHierarchy uniqueName="[Raw Datasets].[Folder Path]" caption="Folder Path" attribute="1" defaultMemberUniqueName="[Raw Datasets].[Folder Path].[All]" allUniqueName="[Raw Datasets].[Folder Path].[All]" dimensionUniqueName="[Raw Datasets]"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Raw Datasets]" caption="__XL_Count Raw Datasets" measure="1" displayFolder="" measureGroup="Raw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aw Datasets" uniqueName="[Raw Datasets]" caption="Raw Datasets"/>
  </dimensions>
  <measureGroups count="4">
    <measureGroup name="Customers" caption="Customers"/>
    <measureGroup name="Orders" caption="Orders"/>
    <measureGroup name="Products" caption="Products"/>
    <measureGroup name="Raw Datasets" caption="Raw 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EET" refreshedDate="45908.198227083332" backgroundQuery="1" createdVersion="8" refreshedVersion="8" minRefreshableVersion="3" recordCount="0" supportSubquery="1" supportAdvancedDrill="1" xr:uid="{0A20C2AC-BC8D-4B9B-8B7B-E7BF65EDA9A4}">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3" level="32767"/>
    <cacheField name="[Orders].[Occasion].[Occasion]" caption="Occasion" numFmtId="0" hierarchy="16"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aw Datasets].[Content]" caption="Content" attribute="1" defaultMemberUniqueName="[Raw Datasets].[Content].[All]" allUniqueName="[Raw Datasets].[Content].[All]" dimensionUniqueName="[Raw Datasets]" displayFolder="" count="0" memberValueDatatype="130" unbalanced="0"/>
    <cacheHierarchy uniqueName="[Raw Datasets].[Name]" caption="Name" attribute="1" defaultMemberUniqueName="[Raw Datasets].[Name].[All]" allUniqueName="[Raw Datasets].[Name].[All]" dimensionUniqueName="[Raw Datasets]" displayFolder="" count="0" memberValueDatatype="130" unbalanced="0"/>
    <cacheHierarchy uniqueName="[Raw Datasets].[Extension]" caption="Extension" attribute="1" defaultMemberUniqueName="[Raw Datasets].[Extension].[All]" allUniqueName="[Raw Datasets].[Extension].[All]" dimensionUniqueName="[Raw Datasets]" displayFolder="" count="0" memberValueDatatype="130" unbalanced="0"/>
    <cacheHierarchy uniqueName="[Raw Datasets].[Date accessed]" caption="Date accessed" attribute="1" time="1" defaultMemberUniqueName="[Raw Datasets].[Date accessed].[All]" allUniqueName="[Raw Datasets].[Date accessed].[All]" dimensionUniqueName="[Raw Datasets]" displayFolder="" count="0" memberValueDatatype="7" unbalanced="0"/>
    <cacheHierarchy uniqueName="[Raw Datasets].[Date modified]" caption="Date modified" attribute="1" time="1" defaultMemberUniqueName="[Raw Datasets].[Date modified].[All]" allUniqueName="[Raw Datasets].[Date modified].[All]" dimensionUniqueName="[Raw Datasets]" displayFolder="" count="0" memberValueDatatype="7" unbalanced="0"/>
    <cacheHierarchy uniqueName="[Raw Datasets].[Date created]" caption="Date created" attribute="1" time="1" defaultMemberUniqueName="[Raw Datasets].[Date created].[All]" allUniqueName="[Raw Datasets].[Date created].[All]" dimensionUniqueName="[Raw Datasets]" displayFolder="" count="0" memberValueDatatype="7" unbalanced="0"/>
    <cacheHierarchy uniqueName="[Raw Datasets].[Folder Path]" caption="Folder Path" attribute="1" defaultMemberUniqueName="[Raw Datasets].[Folder Path].[All]" allUniqueName="[Raw Datasets].[Folder Path].[All]" dimensionUniqueName="[Raw Datase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Raw Datasets]" caption="__XL_Count Raw Datasets" measure="1" displayFolder="" measureGroup="Raw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aw Datasets" uniqueName="[Raw Datasets]" caption="Raw Datasets"/>
  </dimensions>
  <measureGroups count="4">
    <measureGroup name="Customers" caption="Customers"/>
    <measureGroup name="Orders" caption="Orders"/>
    <measureGroup name="Products" caption="Products"/>
    <measureGroup name="Raw Datasets" caption="Raw 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EET" refreshedDate="45908.145618865739" backgroundQuery="1" createdVersion="3" refreshedVersion="8" minRefreshableVersion="3" recordCount="0" supportSubquery="1" supportAdvancedDrill="1" xr:uid="{B7FD918D-9312-4C4A-BF52-B85EDD014A80}">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aw Datasets].[Content]" caption="Content" attribute="1" defaultMemberUniqueName="[Raw Datasets].[Content].[All]" allUniqueName="[Raw Datasets].[Content].[All]" dimensionUniqueName="[Raw Datasets]" displayFolder="" count="0" memberValueDatatype="130" unbalanced="0"/>
    <cacheHierarchy uniqueName="[Raw Datasets].[Name]" caption="Name" attribute="1" defaultMemberUniqueName="[Raw Datasets].[Name].[All]" allUniqueName="[Raw Datasets].[Name].[All]" dimensionUniqueName="[Raw Datasets]" displayFolder="" count="0" memberValueDatatype="130" unbalanced="0"/>
    <cacheHierarchy uniqueName="[Raw Datasets].[Extension]" caption="Extension" attribute="1" defaultMemberUniqueName="[Raw Datasets].[Extension].[All]" allUniqueName="[Raw Datasets].[Extension].[All]" dimensionUniqueName="[Raw Datasets]" displayFolder="" count="0" memberValueDatatype="130" unbalanced="0"/>
    <cacheHierarchy uniqueName="[Raw Datasets].[Date accessed]" caption="Date accessed" attribute="1" time="1" defaultMemberUniqueName="[Raw Datasets].[Date accessed].[All]" allUniqueName="[Raw Datasets].[Date accessed].[All]" dimensionUniqueName="[Raw Datasets]" displayFolder="" count="0" memberValueDatatype="7" unbalanced="0"/>
    <cacheHierarchy uniqueName="[Raw Datasets].[Date modified]" caption="Date modified" attribute="1" time="1" defaultMemberUniqueName="[Raw Datasets].[Date modified].[All]" allUniqueName="[Raw Datasets].[Date modified].[All]" dimensionUniqueName="[Raw Datasets]" displayFolder="" count="0" memberValueDatatype="7" unbalanced="0"/>
    <cacheHierarchy uniqueName="[Raw Datasets].[Date created]" caption="Date created" attribute="1" time="1" defaultMemberUniqueName="[Raw Datasets].[Date created].[All]" allUniqueName="[Raw Datasets].[Date created].[All]" dimensionUniqueName="[Raw Datasets]" displayFolder="" count="0" memberValueDatatype="7" unbalanced="0"/>
    <cacheHierarchy uniqueName="[Raw Datasets].[Folder Path]" caption="Folder Path" attribute="1" defaultMemberUniqueName="[Raw Datasets].[Folder Path].[All]" allUniqueName="[Raw Datasets].[Folder Path].[All]" dimensionUniqueName="[Raw Datase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Raw Datasets]" caption="__XL_Count Raw Datasets" measure="1" displayFolder="" measureGroup="Raw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2490696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JEET" refreshedDate="45908.154353819446" backgroundQuery="1" createdVersion="3" refreshedVersion="8" minRefreshableVersion="3" recordCount="0" supportSubquery="1" supportAdvancedDrill="1" xr:uid="{A493611B-BA8E-41B4-A0CE-99E53505A150}">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Raw Datasets].[Content]" caption="Content" attribute="1" defaultMemberUniqueName="[Raw Datasets].[Content].[All]" allUniqueName="[Raw Datasets].[Content].[All]" dimensionUniqueName="[Raw Datasets]" displayFolder="" count="0" memberValueDatatype="130" unbalanced="0"/>
    <cacheHierarchy uniqueName="[Raw Datasets].[Name]" caption="Name" attribute="1" defaultMemberUniqueName="[Raw Datasets].[Name].[All]" allUniqueName="[Raw Datasets].[Name].[All]" dimensionUniqueName="[Raw Datasets]" displayFolder="" count="0" memberValueDatatype="130" unbalanced="0"/>
    <cacheHierarchy uniqueName="[Raw Datasets].[Extension]" caption="Extension" attribute="1" defaultMemberUniqueName="[Raw Datasets].[Extension].[All]" allUniqueName="[Raw Datasets].[Extension].[All]" dimensionUniqueName="[Raw Datasets]" displayFolder="" count="0" memberValueDatatype="130" unbalanced="0"/>
    <cacheHierarchy uniqueName="[Raw Datasets].[Date accessed]" caption="Date accessed" attribute="1" time="1" defaultMemberUniqueName="[Raw Datasets].[Date accessed].[All]" allUniqueName="[Raw Datasets].[Date accessed].[All]" dimensionUniqueName="[Raw Datasets]" displayFolder="" count="0" memberValueDatatype="7" unbalanced="0"/>
    <cacheHierarchy uniqueName="[Raw Datasets].[Date modified]" caption="Date modified" attribute="1" time="1" defaultMemberUniqueName="[Raw Datasets].[Date modified].[All]" allUniqueName="[Raw Datasets].[Date modified].[All]" dimensionUniqueName="[Raw Datasets]" displayFolder="" count="0" memberValueDatatype="7" unbalanced="0"/>
    <cacheHierarchy uniqueName="[Raw Datasets].[Date created]" caption="Date created" attribute="1" time="1" defaultMemberUniqueName="[Raw Datasets].[Date created].[All]" allUniqueName="[Raw Datasets].[Date created].[All]" dimensionUniqueName="[Raw Datasets]" displayFolder="" count="0" memberValueDatatype="7" unbalanced="0"/>
    <cacheHierarchy uniqueName="[Raw Datasets].[Folder Path]" caption="Folder Path" attribute="1" defaultMemberUniqueName="[Raw Datasets].[Folder Path].[All]" allUniqueName="[Raw Datasets].[Folder Path].[All]" dimensionUniqueName="[Raw Datase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Raw Datasets]" caption="__XL_Count Raw Datasets" measure="1" displayFolder="" measureGroup="Raw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5710549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AA70AA-723F-4327-BD13-50A7C45EA368}" name="PivotTable5" cacheId="23" applyNumberFormats="0" applyBorderFormats="0" applyFontFormats="0" applyPatternFormats="0" applyAlignmentFormats="0" applyWidthHeightFormats="1" dataCaption="Values" tag="98536dae-1d77-4906-8838-c50313c2f43b" updatedVersion="8" minRefreshableVersion="5" useAutoFormatting="1" subtotalHiddenItems="1" itemPrintTitles="1" createdVersion="8" indent="0" outline="1" outlineData="1" multipleFieldFilters="0" chartFormat="10">
  <location ref="B18:C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FA0EEB-D82D-4988-9B12-D98534197607}" name="PivotTable4" cacheId="11" applyNumberFormats="0" applyBorderFormats="0" applyFontFormats="0" applyPatternFormats="0" applyAlignmentFormats="0" applyWidthHeightFormats="1" dataCaption="Values" tag="be2c9f59-2b67-4059-bfb0-81f4f7dfa73f" updatedVersion="8" minRefreshableVersion="5" useAutoFormatting="1" itemPrintTitles="1" createdVersion="8" indent="0" outline="1" outlineData="1" multipleFieldFilters="0" chartFormat="6">
  <location ref="E6:F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8">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E43438-60BB-41F3-8771-EC0254F581FC}" name="PivotTable3" cacheId="20" applyNumberFormats="0" applyBorderFormats="0" applyFontFormats="0" applyPatternFormats="0" applyAlignmentFormats="0" applyWidthHeightFormats="1" dataCaption="Values" tag="9f13bb35-1f60-4427-b527-957b0aead4da" updatedVersion="8" minRefreshableVersion="5" useAutoFormatting="1" itemPrintTitles="1" createdVersion="8" indent="0" outline="1" outlineData="1" multipleFieldFilters="0">
  <location ref="E1:H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Order_ID" fld="3" subtotal="count" baseField="0" baseItem="2"/>
    <dataField name="Sum of Revenue" fld="0" baseField="0" baseItem="0"/>
    <dataField name="Average of Diff_order_delivery" fld="1" subtotal="average" baseField="0" baseItem="1"/>
    <dataField name="Average of Customer Spending" fld="2" subtotal="average" baseField="0" baseItem="2"/>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2D5ACF-D3CF-455B-8A01-CB960CFBAE9E}" name="PivotTable8" cacheId="14" applyNumberFormats="0" applyBorderFormats="0" applyFontFormats="0" applyPatternFormats="0" applyAlignmentFormats="0" applyWidthHeightFormats="1" dataCaption="Values" tag="2e556133-6ddd-49c7-8ccc-dbb829a59975" updatedVersion="8" minRefreshableVersion="5" useAutoFormatting="1" subtotalHiddenItems="1" itemPrintTitles="1" createdVersion="8" indent="0" outline="1" outlineData="1" multipleFieldFilters="0" chartFormat="10">
  <location ref="B31:C56"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7">
        <item x="1"/>
        <item x="5"/>
        <item x="6"/>
        <item x="4"/>
        <item x="0"/>
        <item x="2"/>
        <item x="3"/>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8">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4E16CE-A5FF-476B-9EE2-A5D4E0E71D70}" name="PivotTable7" cacheId="0" applyNumberFormats="0" applyBorderFormats="0" applyFontFormats="0" applyPatternFormats="0" applyAlignmentFormats="0" applyWidthHeightFormats="1" dataCaption="Values" tag="6ad254a3-18a8-444f-ad24-dd10a0202952" updatedVersion="8" minRefreshableVersion="5" useAutoFormatting="1" subtotalHiddenItems="1" itemPrintTitles="1" createdVersion="8" indent="0" outline="1" outlineData="1" multipleFieldFilters="0" chartFormat="6">
  <location ref="I18:J2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2D940C-CA2E-40AF-B517-A211D19F151B}" name="PivotTable2" cacheId="17" applyNumberFormats="0" applyBorderFormats="0" applyFontFormats="0" applyPatternFormats="0" applyAlignmentFormats="0" applyWidthHeightFormats="1" dataCaption="Values" tag="453395dd-cffd-4c6e-8eee-b3075fc67a06" updatedVersion="8" minRefreshableVersion="5" useAutoFormatting="1" itemPrintTitles="1" createdVersion="8" indent="0" outline="1" outlineData="1" multipleFieldFilters="0" chartFormat="8">
  <location ref="B1:C14"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Equal" evalOrder="-1" id="4" name="[Orders].[Order_Date]">
      <autoFilter ref="A1">
        <filterColumn colId="0">
          <customFilters>
            <customFilter val="44970"/>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CC0FD5-E1BA-48E7-AFBD-5CA1A6641A1B}" name="PivotTable6" cacheId="26" applyNumberFormats="0" applyBorderFormats="0" applyFontFormats="0" applyPatternFormats="0" applyAlignmentFormats="0" applyWidthHeightFormats="1" dataCaption="Values" tag="a9237d96-2952-44f3-8a59-76c00d843e0b" updatedVersion="8" minRefreshableVersion="5" useAutoFormatting="1" itemPrintTitles="1" createdVersion="8" indent="0" outline="1" outlineData="1" multipleFieldFilters="0" chartFormat="6">
  <location ref="E18:F29"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BAA03DB-0C3F-41EE-8929-3591CB29D41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Raw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0B0E00C-8D6A-47D2-94C3-D762CE8A415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C9D3967-D287-45DD-BF1D-68690C8D9610}"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7" name="Day Name (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5DC984B4-F425-45A2-AD82-9D422881295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1FA3CD7-1F95-4B78-A8B0-6490AA05888A}" sourceName="[Orders].[Occasion]">
  <pivotTables>
    <pivotTable tabId="1" name="PivotTable4"/>
    <pivotTable tabId="1" name="PivotTable8"/>
    <pivotTable tabId="1" name="PivotTable2"/>
    <pivotTable tabId="1" name="PivotTable3"/>
    <pivotTable tabId="1" name="PivotTable5"/>
    <pivotTable tabId="1" name="PivotTable6"/>
  </pivotTables>
  <data>
    <olap pivotCacheId="182490696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532FA73-E222-4212-93D1-03E9CBCB4F37}"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FAF06E-9000-4D4D-9D2C-2F4CACDBA340}" name="Raw_Datasets" displayName="Raw_Datasets" ref="A1:F4" tableType="queryTable" totalsRowShown="0">
  <autoFilter ref="A1:F4" xr:uid="{9BFAF06E-9000-4D4D-9D2C-2F4CACDBA340}"/>
  <tableColumns count="6">
    <tableColumn id="1" xr3:uid="{EE5EE74E-7E4C-4477-AB0F-B94C30446572}" uniqueName="1" name="Name" queryTableFieldId="1" dataDxfId="23"/>
    <tableColumn id="2" xr3:uid="{7AEAA7E1-BA85-4780-86BD-F911B9C91D34}" uniqueName="2" name="Extension" queryTableFieldId="2" dataDxfId="22"/>
    <tableColumn id="3" xr3:uid="{475C1D58-011D-4D38-BE87-EBDA14BFAD0B}" uniqueName="3" name="Date accessed" queryTableFieldId="3" dataDxfId="21"/>
    <tableColumn id="4" xr3:uid="{5E4330BB-2422-4083-9D59-DD702C99760D}" uniqueName="4" name="Date modified" queryTableFieldId="4" dataDxfId="20"/>
    <tableColumn id="5" xr3:uid="{1D5F99CD-2C38-4A03-B43D-251F51A1C6B1}" uniqueName="5" name="Date created" queryTableFieldId="5" dataDxfId="19"/>
    <tableColumn id="6" xr3:uid="{B373708A-FB7C-4609-86E8-DC088A1CA37F}"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E8C334-5AA9-4F2B-B38A-97BADB2263CF}" name="Customers" displayName="Customers" ref="A1:G101" tableType="queryTable" totalsRowShown="0">
  <autoFilter ref="A1:G101" xr:uid="{4BE8C334-5AA9-4F2B-B38A-97BADB2263CF}"/>
  <tableColumns count="7">
    <tableColumn id="1" xr3:uid="{23BF1D4B-9CBE-46E8-BE76-1B2A5582C3FF}" uniqueName="1" name="Customer_ID" queryTableFieldId="1" dataDxfId="17"/>
    <tableColumn id="2" xr3:uid="{7F48B3D5-A144-45E4-A836-885D42253394}" uniqueName="2" name="Name" queryTableFieldId="2" dataDxfId="16"/>
    <tableColumn id="3" xr3:uid="{A48C4E0B-30A8-4788-8431-FB6A2F2365A7}" uniqueName="3" name="City" queryTableFieldId="3" dataDxfId="15"/>
    <tableColumn id="4" xr3:uid="{F66FEC6A-84A8-4109-A6E3-8C40AA81E0DD}" uniqueName="4" name="Contact_Number" queryTableFieldId="4" dataDxfId="14"/>
    <tableColumn id="5" xr3:uid="{814A535C-1F2F-4A29-BC57-1A3745981480}" uniqueName="5" name="Email" queryTableFieldId="5" dataDxfId="13"/>
    <tableColumn id="6" xr3:uid="{FB56F31C-360B-4F63-88CD-7CDE3D28B301}" uniqueName="6" name="Gender" queryTableFieldId="6" dataDxfId="12"/>
    <tableColumn id="7" xr3:uid="{06A91E8F-0063-4C3E-95D3-1F7BF2075E74}"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6D988C-86F8-4822-B188-F35B9CD1DFA8}" name="Orders" displayName="Orders" ref="A1:Q1001" tableType="queryTable" totalsRowShown="0">
  <autoFilter ref="A1:Q1001" xr:uid="{6A6D988C-86F8-4822-B188-F35B9CD1DFA8}"/>
  <tableColumns count="17">
    <tableColumn id="1" xr3:uid="{FBB4F3C7-5396-447E-8B47-AAB3444BF4D1}" uniqueName="1" name="Order_ID" queryTableFieldId="1"/>
    <tableColumn id="2" xr3:uid="{3B0439F3-0534-45E6-99C7-0756170238CF}" uniqueName="2" name="Customer_ID" queryTableFieldId="2" dataDxfId="10"/>
    <tableColumn id="3" xr3:uid="{07A48191-E9CF-4E9E-A380-8D6273EE8297}" uniqueName="3" name="Product_ID" queryTableFieldId="3"/>
    <tableColumn id="4" xr3:uid="{26972AB7-0E45-467D-9E4F-F5CF2D21DC97}" uniqueName="4" name="Quantity" queryTableFieldId="4"/>
    <tableColumn id="5" xr3:uid="{64F6A55E-5FE8-4F37-BBE4-40543428D186}" uniqueName="5" name="Order_Date" queryTableFieldId="5" dataDxfId="9"/>
    <tableColumn id="6" xr3:uid="{0235006A-2CD8-4739-810C-FB29E1A6C946}" uniqueName="6" name="Order_Time" queryTableFieldId="6" dataDxfId="8"/>
    <tableColumn id="7" xr3:uid="{0768DC40-9683-4DE0-B72A-669EE9F15014}" uniqueName="7" name="Delivery_Date" queryTableFieldId="7" dataDxfId="7"/>
    <tableColumn id="8" xr3:uid="{14644789-3E79-4748-A0D9-2034C3543219}" uniqueName="8" name="Delivery_Time" queryTableFieldId="8" dataDxfId="6"/>
    <tableColumn id="9" xr3:uid="{7D19C060-D7F3-43AA-A040-963332B106F7}" uniqueName="9" name="Location" queryTableFieldId="9" dataDxfId="5"/>
    <tableColumn id="10" xr3:uid="{E8BA9FEE-3C72-407B-B7AD-65D0DBD7A36C}" uniqueName="10" name="Occasion" queryTableFieldId="10" dataDxfId="4"/>
    <tableColumn id="11" xr3:uid="{0D01ECAC-C540-4583-91A7-A847C96EA5E8}" uniqueName="11" name="Month Name" queryTableFieldId="11" dataDxfId="3"/>
    <tableColumn id="12" xr3:uid="{9C38BD22-D345-43E6-A110-F8ACE37E4412}" uniqueName="12" name="Hour [Order Time]" queryTableFieldId="12"/>
    <tableColumn id="13" xr3:uid="{9DA2F6CF-2EC5-4AA8-8E25-6CAE29605D05}" uniqueName="13" name="Diff_order_delivery" queryTableFieldId="13"/>
    <tableColumn id="14" xr3:uid="{8D99D3EF-C2B2-43D1-A679-5D0E134DF450}" uniqueName="14" name="Hour [Delivery Time]" queryTableFieldId="14"/>
    <tableColumn id="15" xr3:uid="{B17B8B04-3C9F-4807-8840-B1EC22715AC1}" uniqueName="15" name="Price (INR)" queryTableFieldId="15"/>
    <tableColumn id="16" xr3:uid="{47F95FBD-3FE2-41D6-A81F-45BE48EB057E}" uniqueName="16" name="Revenue" queryTableFieldId="16"/>
    <tableColumn id="17" xr3:uid="{59279644-A508-4FC1-9273-5EFED089B4C8}" uniqueName="17" name="Day Name (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85FDA0-0E40-4669-8179-DBEFA1089BBA}" name="Products" displayName="Products" ref="A1:E71" tableType="queryTable" totalsRowShown="0">
  <autoFilter ref="A1:E71" xr:uid="{4585FDA0-0E40-4669-8179-DBEFA1089BBA}"/>
  <tableColumns count="5">
    <tableColumn id="1" xr3:uid="{8258CCD7-5FDE-4BB3-B3D7-C302B0D706F7}" uniqueName="1" name="Product_ID" queryTableFieldId="1"/>
    <tableColumn id="2" xr3:uid="{ACAF1EB2-9700-4FDA-94A7-26FE9FCC71A8}" uniqueName="2" name="Product_Name" queryTableFieldId="2" dataDxfId="2"/>
    <tableColumn id="3" xr3:uid="{46C459BC-BD10-45B0-87ED-85D7E3FEEA26}" uniqueName="3" name="Category" queryTableFieldId="3" dataDxfId="1"/>
    <tableColumn id="4" xr3:uid="{04F9A30C-B2AF-4445-A324-5E16D7018F20}" uniqueName="4" name="Price (INR)" queryTableFieldId="4"/>
    <tableColumn id="5" xr3:uid="{083281A6-3E58-43AD-BB01-C870B5F5FC5B}"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F91C4C3-7E0C-49CC-BFD8-9BB3DE98DF47}" sourceName="[Orders].[Order_Date]">
  <pivotTables>
    <pivotTable tabId="1" name="PivotTable5"/>
    <pivotTable tabId="1" name="PivotTable4"/>
    <pivotTable tabId="1" name="PivotTable6"/>
    <pivotTable tabId="1" name="PivotTable7"/>
    <pivotTable tabId="1" name="PivotTable8"/>
    <pivotTable tabId="1" name="PivotTable3"/>
  </pivotTables>
  <state minimalRefreshVersion="6" lastRefreshVersion="6" pivotCacheId="25710549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C8B68A3-8693-460C-B44A-0FAB9729ECF5}" sourceName="[Orders].[Delivery_Date]">
  <pivotTables>
    <pivotTable tabId="1" name="PivotTable5"/>
    <pivotTable tabId="1" name="PivotTable2"/>
    <pivotTable tabId="1" name="PivotTable3"/>
    <pivotTable tabId="1" name="PivotTable4"/>
    <pivotTable tabId="1" name="PivotTable6"/>
    <pivotTable tabId="1" name="PivotTable7"/>
    <pivotTable tabId="1" name="PivotTable8"/>
  </pivotTables>
  <state minimalRefreshVersion="6" lastRefreshVersion="6" pivotCacheId="25710549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342CBCC-661C-4AED-A9E3-BDBF16499EAD}" cache="Timeline_Order_Date" caption="Order_Date" level="2" selectionLevel="3" scrollPosition="2023-01-01T00:00:00"/>
  <timeline name="Delivery_Date" xr10:uid="{4EC96490-0050-4F89-9ABB-470744BAB164}"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D566E-629F-47E2-A7FD-FB6C18F258C9}">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69.88671875" bestFit="1" customWidth="1"/>
  </cols>
  <sheetData>
    <row r="1" spans="1:6" x14ac:dyDescent="0.3">
      <c r="A1" t="s">
        <v>0</v>
      </c>
      <c r="B1" t="s">
        <v>1</v>
      </c>
      <c r="C1" t="s">
        <v>2</v>
      </c>
      <c r="D1" t="s">
        <v>3</v>
      </c>
      <c r="E1" t="s">
        <v>4</v>
      </c>
      <c r="F1" t="s">
        <v>5</v>
      </c>
    </row>
    <row r="2" spans="1:6" x14ac:dyDescent="0.3">
      <c r="A2" t="s">
        <v>6</v>
      </c>
      <c r="B2" t="s">
        <v>7</v>
      </c>
      <c r="C2" s="1">
        <v>45906.752068711423</v>
      </c>
      <c r="D2" s="1">
        <v>45906.752064236112</v>
      </c>
      <c r="E2" s="1">
        <v>45906.749960416666</v>
      </c>
      <c r="F2" t="s">
        <v>8</v>
      </c>
    </row>
    <row r="3" spans="1:6" x14ac:dyDescent="0.3">
      <c r="A3" t="s">
        <v>9</v>
      </c>
      <c r="B3" t="s">
        <v>7</v>
      </c>
      <c r="C3" s="1">
        <v>45906.752594791666</v>
      </c>
      <c r="D3" s="1">
        <v>45906.752587847222</v>
      </c>
      <c r="E3" s="1">
        <v>45906.75007677469</v>
      </c>
      <c r="F3" t="s">
        <v>8</v>
      </c>
    </row>
    <row r="4" spans="1:6" x14ac:dyDescent="0.3">
      <c r="A4" t="s">
        <v>10</v>
      </c>
      <c r="B4" t="s">
        <v>7</v>
      </c>
      <c r="C4" s="1">
        <v>45906.75291604938</v>
      </c>
      <c r="D4" s="1">
        <v>45906.752907793212</v>
      </c>
      <c r="E4" s="1">
        <v>45906.750160455245</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9ED37-5B76-4B36-A32F-A281681DF415}">
  <dimension ref="A1:G101"/>
  <sheetViews>
    <sheetView workbookViewId="0">
      <selection activeCell="C24" sqref="C24"/>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A62D7-658B-4498-89B4-F77DA38CD6EF}">
  <dimension ref="A1:Q1001"/>
  <sheetViews>
    <sheetView topLeftCell="H1" workbookViewId="0">
      <selection activeCell="G18" sqref="G18"/>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19.6640625" bestFit="1" customWidth="1"/>
    <col min="14" max="14" width="20.6640625" bestFit="1" customWidth="1"/>
    <col min="15" max="15" width="12.109375" bestFit="1" customWidth="1"/>
    <col min="16" max="16" width="10.5546875" bestFit="1" customWidth="1"/>
    <col min="17" max="17" width="23"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936</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937</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938</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936</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939</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936</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936</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939</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939</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936</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936</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936</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940</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940</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940</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941</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937</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936</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936</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937</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936</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939</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939</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939</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937</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939</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941</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942</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938</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941</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938</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936</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936</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936</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936</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940</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937</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938</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939</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936</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940</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937</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936</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939</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940</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941</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941</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939</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939</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937</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941</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939</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936</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939</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942</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940</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941</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936</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936</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939</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936</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937</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940</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936</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936</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939</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937</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938</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940</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939</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939</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936</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938</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936</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941</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936</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942</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941</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937</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936</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937</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938</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939</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940</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938</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937</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939</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939</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942</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936</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936</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939</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940</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936</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941</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937</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940</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942</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939</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938</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940</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942</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940</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939</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939</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939</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940</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940</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936</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940</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938</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937</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941</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939</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939</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938</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942</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942</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939</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939</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939</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937</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940</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937</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936</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940</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940</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938</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940</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938</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941</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941</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940</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942</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939</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938</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941</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941</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941</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939</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939</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941</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941</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939</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939</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941</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940</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942</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942</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942</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939</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941</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936</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939</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939</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941</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940</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939</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940</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941</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941</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941</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939</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940</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940</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939</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942</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941</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940</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941</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941</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941</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939</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942</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939</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941</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939</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940</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942</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942</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941</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936</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939</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938</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936</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942</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942</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940</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939</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939</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938</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939</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941</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941</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941</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940</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937</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940</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942</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942</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941</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940</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939</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940</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937</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939</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941</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941</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942</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937</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941</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939</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940</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936</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938</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941</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938</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937</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938</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938</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936</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940</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939</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939</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942</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937</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938</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942</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937</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939</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937</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941</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940</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941</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939</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937</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939</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942</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942</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939</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942</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936</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942</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941</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941</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937</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936</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941</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939</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936</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936</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940</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942</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936</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942</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942</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941</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936</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938</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938</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936</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936</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942</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936</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936</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939</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939</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936</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936</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938</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936</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939</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939</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937</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939</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940</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939</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939</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939</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940</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936</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942</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940</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938</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940</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937</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942</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940</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941</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941</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937</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940</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936</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938</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938</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938</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937</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938</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938</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940</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938</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938</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939</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941</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939</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937</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941</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942</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936</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940</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941</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939</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942</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942</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937</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937</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940</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940</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942</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941</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941</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939</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937</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941</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938</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942</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938</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940</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938</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939</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942</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937</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942</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941</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938</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936</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939</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938</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942</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940</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938</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942</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940</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940</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942</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938</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937</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939</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936</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938</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938</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941</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938</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941</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939</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942</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939</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941</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940</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940</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941</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939</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939</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940</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940</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936</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941</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938</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942</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937</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942</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936</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939</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939</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939</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941</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941</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939</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939</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936</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938</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937</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939</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941</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936</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939</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942</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939</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942</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941</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939</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940</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942</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939</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942</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941</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936</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936</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941</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937</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941</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941</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937</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940</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941</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939</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938</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939</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942</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940</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939</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939</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939</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941</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941</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937</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940</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939</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936</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941</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941</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938</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941</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942</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939</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941</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939</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941</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942</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936</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940</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937</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940</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940</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940</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941</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939</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941</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939</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939</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938</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941</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938</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939</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941</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941</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940</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939</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937</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939</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940</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940</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941</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938</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939</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941</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939</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938</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937</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938</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940</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941</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941</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940</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937</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941</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937</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941</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941</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940</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941</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938</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937</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942</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938</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936</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940</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938</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942</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941</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940</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941</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941</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939</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941</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937</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939</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936</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941</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940</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941</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940</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938</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941</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941</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936</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941</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941</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939</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941</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939</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941</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938</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940</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938</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936</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938</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939</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940</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937</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936</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939</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937</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940</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942</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941</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941</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939</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936</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940</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941</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940</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940</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940</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941</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936</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941</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938</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937</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938</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936</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941</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940</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942</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941</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937</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937</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942</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939</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936</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941</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941</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941</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939</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937</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938</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942</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937</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940</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940</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938</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941</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940</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937</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938</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941</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941</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940</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940</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937</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939</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937</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937</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936</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941</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937</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936</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937</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942</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941</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936</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939</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941</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938</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942</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936</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938</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941</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942</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937</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942</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942</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936</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937</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936</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936</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942</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937</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942</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942</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938</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940</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940</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936</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936</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942</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938</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938</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942</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941</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936</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938</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942</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942</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937</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940</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940</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942</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936</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938</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939</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936</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936</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940</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937</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941</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937</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940</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939</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942</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939</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938</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942</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936</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940</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939</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942</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942</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936</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942</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938</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937</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939</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937</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937</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942</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939</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942</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936</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941</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936</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942</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940</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936</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941</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938</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937</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942</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941</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940</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942</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938</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942</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942</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942</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938</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937</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941</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936</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937</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938</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942</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939</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940</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938</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938</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942</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942</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939</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938</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942</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940</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937</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941</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941</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938</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939</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940</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939</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942</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940</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937</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941</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938</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937</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938</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938</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940</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939</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938</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941</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940</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936</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939</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940</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937</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939</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939</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938</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937</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936</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938</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936</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941</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938</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938</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942</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936</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937</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941</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937</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937</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938</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937</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942</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941</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941</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941</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939</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936</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939</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939</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938</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938</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941</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942</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938</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936</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940</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936</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939</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936</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936</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941</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936</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941</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940</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939</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941</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942</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939</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938</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940</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939</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939</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936</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940</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942</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937</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940</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940</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940</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938</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942</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937</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938</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940</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940</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940</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940</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936</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938</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941</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939</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936</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941</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938</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941</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939</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942</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942</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940</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939</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942</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939</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938</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940</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939</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937</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938</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937</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938</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940</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936</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941</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938</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938</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936</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939</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936</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939</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938</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939</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942</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937</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939</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937</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939</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937</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941</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938</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939</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936</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939</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938</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941</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942</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941</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942</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940</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938</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939</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942</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942</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939</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938</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936</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937</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939</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938</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937</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941</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940</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938</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941</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941</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939</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936</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939</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938</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937</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942</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937</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941</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941</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941</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939</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938</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942</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940</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937</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938</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939</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938</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936</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942</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942</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938</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936</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938</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936</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939</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942</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939</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938</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938</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942</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940</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942</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938</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938</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942</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938</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940</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937</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940</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938</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937</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941</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942</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940</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938</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941</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940</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941</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942</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939</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941</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939</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941</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937</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939</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936</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939</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942</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937</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941</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936</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941</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940</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941</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937</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942</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939</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940</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937</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942</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938</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936</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936</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942</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938</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937</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937</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942</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941</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941</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939</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940</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940</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940</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941</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942</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936</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938</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938</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939</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936</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936</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938</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938</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941</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937</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937</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937</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938</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939</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936</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940</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936</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942</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938</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940</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938</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941</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936</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942</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938</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937</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942</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942</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936</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939</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936</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936</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937</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940</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939</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942</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940</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940</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940</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940</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937</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937</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938</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938</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939</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941</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938</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936</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938</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941</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942</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937</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938</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938</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940</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939</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936</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937</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937</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939</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940</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942</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936</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936</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939</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938</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942</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938</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942</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939</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938</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942</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939</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939</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43FB1-F853-45D8-9977-1C70997045F5}">
  <dimension ref="A1:E71"/>
  <sheetViews>
    <sheetView workbookViewId="0">
      <selection activeCell="D24" sqref="D24"/>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EF54-94A5-4B44-83A2-7AECD9177D11}">
  <dimension ref="B1:J56"/>
  <sheetViews>
    <sheetView workbookViewId="0">
      <selection activeCell="F2" sqref="F2"/>
    </sheetView>
  </sheetViews>
  <sheetFormatPr defaultRowHeight="14.4" x14ac:dyDescent="0.3"/>
  <cols>
    <col min="2" max="2" width="14.44140625" bestFit="1" customWidth="1"/>
    <col min="3" max="3" width="14.88671875" bestFit="1" customWidth="1"/>
    <col min="4" max="4" width="12.5546875" bestFit="1" customWidth="1"/>
    <col min="5" max="5" width="13.6640625" bestFit="1" customWidth="1"/>
    <col min="6" max="6" width="16.44140625" bestFit="1" customWidth="1"/>
    <col min="7" max="7" width="27.21875" bestFit="1" customWidth="1"/>
    <col min="8" max="8" width="27.44140625" bestFit="1" customWidth="1"/>
    <col min="9" max="9" width="14.44140625" bestFit="1" customWidth="1"/>
    <col min="10" max="10" width="14.88671875" bestFit="1" customWidth="1"/>
  </cols>
  <sheetData>
    <row r="1" spans="2:9" x14ac:dyDescent="0.3">
      <c r="B1" s="4" t="s">
        <v>932</v>
      </c>
      <c r="C1" t="s">
        <v>943</v>
      </c>
      <c r="E1" t="s">
        <v>946</v>
      </c>
      <c r="F1" t="s">
        <v>943</v>
      </c>
      <c r="G1" t="s">
        <v>944</v>
      </c>
      <c r="H1" t="s">
        <v>945</v>
      </c>
    </row>
    <row r="2" spans="2:9" x14ac:dyDescent="0.3">
      <c r="B2" s="5" t="s">
        <v>842</v>
      </c>
      <c r="C2" s="9">
        <v>95468</v>
      </c>
      <c r="E2" s="10">
        <v>1000</v>
      </c>
      <c r="F2" s="9">
        <v>3520984</v>
      </c>
      <c r="G2" s="10">
        <v>5.53</v>
      </c>
      <c r="H2" s="9">
        <v>3520.9839999999999</v>
      </c>
    </row>
    <row r="3" spans="2:9" x14ac:dyDescent="0.3">
      <c r="B3" s="5" t="s">
        <v>621</v>
      </c>
      <c r="C3" s="9">
        <v>704509</v>
      </c>
    </row>
    <row r="4" spans="2:9" x14ac:dyDescent="0.3">
      <c r="B4" s="5" t="s">
        <v>747</v>
      </c>
      <c r="C4" s="9">
        <v>511823</v>
      </c>
    </row>
    <row r="5" spans="2:9" x14ac:dyDescent="0.3">
      <c r="B5" s="5" t="s">
        <v>837</v>
      </c>
      <c r="C5" s="9">
        <v>140393</v>
      </c>
    </row>
    <row r="6" spans="2:9" x14ac:dyDescent="0.3">
      <c r="B6" s="5" t="s">
        <v>840</v>
      </c>
      <c r="C6" s="9">
        <v>150346</v>
      </c>
      <c r="E6" s="4" t="s">
        <v>932</v>
      </c>
      <c r="F6" t="s">
        <v>943</v>
      </c>
      <c r="I6" t="s">
        <v>947</v>
      </c>
    </row>
    <row r="7" spans="2:9" x14ac:dyDescent="0.3">
      <c r="B7" s="5" t="s">
        <v>841</v>
      </c>
      <c r="C7" s="9">
        <v>157913</v>
      </c>
      <c r="E7" s="5" t="s">
        <v>877</v>
      </c>
      <c r="F7" s="9">
        <v>97665</v>
      </c>
      <c r="I7" s="7">
        <f>CORREL(Orders[Quantity],Orders[Diff_order_delivery])</f>
        <v>3.4781737193018245E-3</v>
      </c>
    </row>
    <row r="8" spans="2:9" x14ac:dyDescent="0.3">
      <c r="B8" s="5" t="s">
        <v>839</v>
      </c>
      <c r="C8" s="9">
        <v>135826</v>
      </c>
      <c r="E8" s="5" t="s">
        <v>918</v>
      </c>
      <c r="F8" s="9">
        <v>106624</v>
      </c>
      <c r="I8" t="s">
        <v>948</v>
      </c>
    </row>
    <row r="9" spans="2:9" x14ac:dyDescent="0.3">
      <c r="B9" s="5" t="s">
        <v>795</v>
      </c>
      <c r="C9" s="9">
        <v>737389</v>
      </c>
      <c r="E9" s="5" t="s">
        <v>910</v>
      </c>
      <c r="F9" s="9">
        <v>101556</v>
      </c>
    </row>
    <row r="10" spans="2:9" x14ac:dyDescent="0.3">
      <c r="B10" s="5" t="s">
        <v>843</v>
      </c>
      <c r="C10" s="9">
        <v>136938</v>
      </c>
      <c r="E10" s="5" t="s">
        <v>858</v>
      </c>
      <c r="F10" s="9">
        <v>121905</v>
      </c>
    </row>
    <row r="11" spans="2:9" x14ac:dyDescent="0.3">
      <c r="B11" s="5" t="s">
        <v>845</v>
      </c>
      <c r="C11" s="9">
        <v>151619</v>
      </c>
      <c r="E11" s="5" t="s">
        <v>884</v>
      </c>
      <c r="F11" s="9">
        <v>114476</v>
      </c>
    </row>
    <row r="12" spans="2:9" x14ac:dyDescent="0.3">
      <c r="B12" s="5" t="s">
        <v>822</v>
      </c>
      <c r="C12" s="9">
        <v>449169</v>
      </c>
      <c r="E12" s="5" t="s">
        <v>933</v>
      </c>
      <c r="F12" s="9">
        <v>542226</v>
      </c>
    </row>
    <row r="13" spans="2:9" x14ac:dyDescent="0.3">
      <c r="B13" s="5" t="s">
        <v>836</v>
      </c>
      <c r="C13" s="9">
        <v>149591</v>
      </c>
    </row>
    <row r="14" spans="2:9" x14ac:dyDescent="0.3">
      <c r="B14" s="5" t="s">
        <v>933</v>
      </c>
      <c r="C14" s="9">
        <v>3520984</v>
      </c>
    </row>
    <row r="18" spans="2:10" x14ac:dyDescent="0.3">
      <c r="B18" s="4" t="s">
        <v>932</v>
      </c>
      <c r="C18" t="s">
        <v>943</v>
      </c>
      <c r="E18" s="4" t="s">
        <v>932</v>
      </c>
      <c r="F18" t="s">
        <v>946</v>
      </c>
      <c r="I18" s="4" t="s">
        <v>932</v>
      </c>
      <c r="J18" t="s">
        <v>943</v>
      </c>
    </row>
    <row r="19" spans="2:10" x14ac:dyDescent="0.3">
      <c r="B19" s="5" t="s">
        <v>868</v>
      </c>
      <c r="C19" s="9">
        <v>329862</v>
      </c>
      <c r="E19" s="5" t="s">
        <v>218</v>
      </c>
      <c r="F19" s="10">
        <v>18</v>
      </c>
      <c r="I19" s="5" t="s">
        <v>699</v>
      </c>
      <c r="J19" s="6">
        <v>586176</v>
      </c>
    </row>
    <row r="20" spans="2:10" x14ac:dyDescent="0.3">
      <c r="B20" s="5" t="s">
        <v>863</v>
      </c>
      <c r="C20" s="9">
        <v>1005645</v>
      </c>
      <c r="E20" s="5" t="s">
        <v>152</v>
      </c>
      <c r="F20" s="10">
        <v>21</v>
      </c>
      <c r="I20" s="5" t="s">
        <v>698</v>
      </c>
      <c r="J20" s="6">
        <v>674634</v>
      </c>
    </row>
    <row r="21" spans="2:10" x14ac:dyDescent="0.3">
      <c r="B21" s="5" t="s">
        <v>874</v>
      </c>
      <c r="C21" s="9">
        <v>201151</v>
      </c>
      <c r="E21" s="5" t="s">
        <v>32</v>
      </c>
      <c r="F21" s="10">
        <v>18</v>
      </c>
      <c r="I21" s="5" t="s">
        <v>707</v>
      </c>
      <c r="J21" s="6">
        <v>408194</v>
      </c>
    </row>
    <row r="22" spans="2:10" x14ac:dyDescent="0.3">
      <c r="B22" s="5" t="s">
        <v>861</v>
      </c>
      <c r="C22" s="9">
        <v>212281</v>
      </c>
      <c r="E22" s="5" t="s">
        <v>324</v>
      </c>
      <c r="F22" s="10">
        <v>28</v>
      </c>
      <c r="I22" s="5" t="s">
        <v>829</v>
      </c>
      <c r="J22" s="6">
        <v>313783</v>
      </c>
    </row>
    <row r="23" spans="2:10" x14ac:dyDescent="0.3">
      <c r="B23" s="5" t="s">
        <v>794</v>
      </c>
      <c r="C23" s="9">
        <v>297372</v>
      </c>
      <c r="E23" s="5" t="s">
        <v>230</v>
      </c>
      <c r="F23" s="10">
        <v>21</v>
      </c>
      <c r="I23" s="5" t="s">
        <v>701</v>
      </c>
      <c r="J23" s="6">
        <v>574682</v>
      </c>
    </row>
    <row r="24" spans="2:10" x14ac:dyDescent="0.3">
      <c r="B24" s="5" t="s">
        <v>859</v>
      </c>
      <c r="C24" s="9">
        <v>740831</v>
      </c>
      <c r="E24" s="5" t="s">
        <v>301</v>
      </c>
      <c r="F24" s="10">
        <v>20</v>
      </c>
      <c r="I24" s="5" t="s">
        <v>794</v>
      </c>
      <c r="J24" s="6">
        <v>631585</v>
      </c>
    </row>
    <row r="25" spans="2:10" x14ac:dyDescent="0.3">
      <c r="B25" s="5" t="s">
        <v>865</v>
      </c>
      <c r="C25" s="9">
        <v>733842</v>
      </c>
      <c r="E25" s="5" t="s">
        <v>188</v>
      </c>
      <c r="F25" s="10">
        <v>24</v>
      </c>
      <c r="I25" s="5" t="s">
        <v>620</v>
      </c>
      <c r="J25" s="6">
        <v>331930</v>
      </c>
    </row>
    <row r="26" spans="2:10" x14ac:dyDescent="0.3">
      <c r="B26" s="5" t="s">
        <v>933</v>
      </c>
      <c r="C26" s="9">
        <v>3520984</v>
      </c>
      <c r="E26" s="5" t="s">
        <v>307</v>
      </c>
      <c r="F26" s="10">
        <v>29</v>
      </c>
      <c r="I26" s="5" t="s">
        <v>933</v>
      </c>
      <c r="J26" s="6">
        <v>3520984</v>
      </c>
    </row>
    <row r="27" spans="2:10" x14ac:dyDescent="0.3">
      <c r="E27" s="5" t="s">
        <v>158</v>
      </c>
      <c r="F27" s="10">
        <v>27</v>
      </c>
    </row>
    <row r="28" spans="2:10" x14ac:dyDescent="0.3">
      <c r="E28" s="5" t="s">
        <v>397</v>
      </c>
      <c r="F28" s="10">
        <v>19</v>
      </c>
    </row>
    <row r="29" spans="2:10" x14ac:dyDescent="0.3">
      <c r="E29" s="5" t="s">
        <v>933</v>
      </c>
      <c r="F29" s="10">
        <v>225</v>
      </c>
    </row>
    <row r="31" spans="2:10" x14ac:dyDescent="0.3">
      <c r="B31" s="4" t="s">
        <v>932</v>
      </c>
      <c r="C31" t="s">
        <v>943</v>
      </c>
    </row>
    <row r="32" spans="2:10" x14ac:dyDescent="0.3">
      <c r="B32" s="5">
        <v>0</v>
      </c>
      <c r="C32" s="9">
        <v>99400</v>
      </c>
    </row>
    <row r="33" spans="2:3" x14ac:dyDescent="0.3">
      <c r="B33" s="5">
        <v>1</v>
      </c>
      <c r="C33" s="9">
        <v>129309</v>
      </c>
    </row>
    <row r="34" spans="2:3" x14ac:dyDescent="0.3">
      <c r="B34" s="5">
        <v>2</v>
      </c>
      <c r="C34" s="9">
        <v>152940</v>
      </c>
    </row>
    <row r="35" spans="2:3" x14ac:dyDescent="0.3">
      <c r="B35" s="5">
        <v>3</v>
      </c>
      <c r="C35" s="9">
        <v>146810</v>
      </c>
    </row>
    <row r="36" spans="2:3" x14ac:dyDescent="0.3">
      <c r="B36" s="5">
        <v>4</v>
      </c>
      <c r="C36" s="9">
        <v>114700</v>
      </c>
    </row>
    <row r="37" spans="2:3" x14ac:dyDescent="0.3">
      <c r="B37" s="5">
        <v>5</v>
      </c>
      <c r="C37" s="9">
        <v>156198</v>
      </c>
    </row>
    <row r="38" spans="2:3" x14ac:dyDescent="0.3">
      <c r="B38" s="5">
        <v>6</v>
      </c>
      <c r="C38" s="9">
        <v>177211</v>
      </c>
    </row>
    <row r="39" spans="2:3" x14ac:dyDescent="0.3">
      <c r="B39" s="5">
        <v>7</v>
      </c>
      <c r="C39" s="9">
        <v>147749</v>
      </c>
    </row>
    <row r="40" spans="2:3" x14ac:dyDescent="0.3">
      <c r="B40" s="5">
        <v>8</v>
      </c>
      <c r="C40" s="9">
        <v>133617</v>
      </c>
    </row>
    <row r="41" spans="2:3" x14ac:dyDescent="0.3">
      <c r="B41" s="5">
        <v>9</v>
      </c>
      <c r="C41" s="9">
        <v>153678</v>
      </c>
    </row>
    <row r="42" spans="2:3" x14ac:dyDescent="0.3">
      <c r="B42" s="5">
        <v>10</v>
      </c>
      <c r="C42" s="9">
        <v>94985</v>
      </c>
    </row>
    <row r="43" spans="2:3" x14ac:dyDescent="0.3">
      <c r="B43" s="5">
        <v>11</v>
      </c>
      <c r="C43" s="9">
        <v>130287</v>
      </c>
    </row>
    <row r="44" spans="2:3" x14ac:dyDescent="0.3">
      <c r="B44" s="5">
        <v>12</v>
      </c>
      <c r="C44" s="9">
        <v>162394</v>
      </c>
    </row>
    <row r="45" spans="2:3" x14ac:dyDescent="0.3">
      <c r="B45" s="5">
        <v>13</v>
      </c>
      <c r="C45" s="9">
        <v>152340</v>
      </c>
    </row>
    <row r="46" spans="2:3" x14ac:dyDescent="0.3">
      <c r="B46" s="5">
        <v>14</v>
      </c>
      <c r="C46" s="9">
        <v>126406</v>
      </c>
    </row>
    <row r="47" spans="2:3" x14ac:dyDescent="0.3">
      <c r="B47" s="5">
        <v>15</v>
      </c>
      <c r="C47" s="9">
        <v>163586</v>
      </c>
    </row>
    <row r="48" spans="2:3" x14ac:dyDescent="0.3">
      <c r="B48" s="5">
        <v>16</v>
      </c>
      <c r="C48" s="9">
        <v>128797</v>
      </c>
    </row>
    <row r="49" spans="2:3" x14ac:dyDescent="0.3">
      <c r="B49" s="5">
        <v>17</v>
      </c>
      <c r="C49" s="9">
        <v>155373</v>
      </c>
    </row>
    <row r="50" spans="2:3" x14ac:dyDescent="0.3">
      <c r="B50" s="5">
        <v>18</v>
      </c>
      <c r="C50" s="9">
        <v>173118</v>
      </c>
    </row>
    <row r="51" spans="2:3" x14ac:dyDescent="0.3">
      <c r="B51" s="5">
        <v>19</v>
      </c>
      <c r="C51" s="9">
        <v>185771</v>
      </c>
    </row>
    <row r="52" spans="2:3" x14ac:dyDescent="0.3">
      <c r="B52" s="5">
        <v>20</v>
      </c>
      <c r="C52" s="9">
        <v>186426</v>
      </c>
    </row>
    <row r="53" spans="2:3" x14ac:dyDescent="0.3">
      <c r="B53" s="5">
        <v>21</v>
      </c>
      <c r="C53" s="9">
        <v>155466</v>
      </c>
    </row>
    <row r="54" spans="2:3" x14ac:dyDescent="0.3">
      <c r="B54" s="5">
        <v>22</v>
      </c>
      <c r="C54" s="9">
        <v>125912</v>
      </c>
    </row>
    <row r="55" spans="2:3" x14ac:dyDescent="0.3">
      <c r="B55" s="5">
        <v>23</v>
      </c>
      <c r="C55" s="9">
        <v>168511</v>
      </c>
    </row>
    <row r="56" spans="2:3" x14ac:dyDescent="0.3">
      <c r="B56" s="5" t="s">
        <v>933</v>
      </c>
      <c r="C56" s="9">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4B7-E17C-43A1-935E-DD700FC37C69}">
  <dimension ref="A1"/>
  <sheetViews>
    <sheetView tabSelected="1" zoomScaleNormal="100" workbookViewId="0">
      <selection activeCell="O42" sqref="O42"/>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9AB600EC-D413-46E6-B922-B31269C8EA96}">
  <ds:schemaRefs/>
</ds:datastoreItem>
</file>

<file path=customXml/itemProps2.xml><?xml version="1.0" encoding="utf-8"?>
<ds:datastoreItem xmlns:ds="http://schemas.openxmlformats.org/officeDocument/2006/customXml" ds:itemID="{8CA68A3D-D609-4F7F-86C1-2FD38A649374}">
  <ds:schemaRefs/>
</ds:datastoreItem>
</file>

<file path=customXml/itemProps3.xml><?xml version="1.0" encoding="utf-8"?>
<ds:datastoreItem xmlns:ds="http://schemas.openxmlformats.org/officeDocument/2006/customXml" ds:itemID="{127C2ADA-C725-40EA-AB0B-FD123208D493}">
  <ds:schemaRefs/>
</ds:datastoreItem>
</file>

<file path=customXml/itemProps4.xml><?xml version="1.0" encoding="utf-8"?>
<ds:datastoreItem xmlns:ds="http://schemas.openxmlformats.org/officeDocument/2006/customXml" ds:itemID="{EA3E7DB3-5470-4E63-B9D7-11050F0D8351}">
  <ds:schemaRefs/>
</ds:datastoreItem>
</file>

<file path=customXml/itemProps5.xml><?xml version="1.0" encoding="utf-8"?>
<ds:datastoreItem xmlns:ds="http://schemas.openxmlformats.org/officeDocument/2006/customXml" ds:itemID="{FCA7ADF4-0F42-42D8-82AB-0E268404BCF0}">
  <ds:schemaRefs/>
</ds:datastoreItem>
</file>

<file path=customXml/itemProps6.xml><?xml version="1.0" encoding="utf-8"?>
<ds:datastoreItem xmlns:ds="http://schemas.openxmlformats.org/officeDocument/2006/customXml" ds:itemID="{CB520807-6727-432A-94D1-296949094934}">
  <ds:schemaRefs/>
</ds:datastoreItem>
</file>

<file path=customXml/itemProps7.xml><?xml version="1.0" encoding="utf-8"?>
<ds:datastoreItem xmlns:ds="http://schemas.openxmlformats.org/officeDocument/2006/customXml" ds:itemID="{82A204D3-D5FE-45C3-9F4E-1C27D28B24AE}">
  <ds:schemaRefs/>
</ds:datastoreItem>
</file>

<file path=customXml/itemProps8.xml><?xml version="1.0" encoding="utf-8"?>
<ds:datastoreItem xmlns:ds="http://schemas.openxmlformats.org/officeDocument/2006/customXml" ds:itemID="{86621C1B-9893-41B5-8469-DD1BDA8FE436}">
  <ds:schemaRefs/>
</ds:datastoreItem>
</file>

<file path=customXml/itemProps9.xml><?xml version="1.0" encoding="utf-8"?>
<ds:datastoreItem xmlns:ds="http://schemas.openxmlformats.org/officeDocument/2006/customXml" ds:itemID="{2211AEA5-93BE-4384-8314-E67A00B8E00F}">
  <ds:schemaRefs/>
</ds:datastoreItem>
</file>

<file path=customXml/itemProps10.xml><?xml version="1.0" encoding="utf-8"?>
<ds:datastoreItem xmlns:ds="http://schemas.openxmlformats.org/officeDocument/2006/customXml" ds:itemID="{4047B08F-B26D-40BB-86FD-8A94C569F092}">
  <ds:schemaRefs/>
</ds:datastoreItem>
</file>

<file path=customXml/itemProps11.xml><?xml version="1.0" encoding="utf-8"?>
<ds:datastoreItem xmlns:ds="http://schemas.openxmlformats.org/officeDocument/2006/customXml" ds:itemID="{82D79FE2-AB7E-4B3A-B611-A60BE42EFC4A}">
  <ds:schemaRefs/>
</ds:datastoreItem>
</file>

<file path=customXml/itemProps12.xml><?xml version="1.0" encoding="utf-8"?>
<ds:datastoreItem xmlns:ds="http://schemas.openxmlformats.org/officeDocument/2006/customXml" ds:itemID="{FA24B29C-050A-403E-897E-D6B4ADE20C5A}">
  <ds:schemaRefs/>
</ds:datastoreItem>
</file>

<file path=customXml/itemProps13.xml><?xml version="1.0" encoding="utf-8"?>
<ds:datastoreItem xmlns:ds="http://schemas.openxmlformats.org/officeDocument/2006/customXml" ds:itemID="{B4DA33E2-060C-4509-84F8-9BFCAEA9C410}">
  <ds:schemaRefs/>
</ds:datastoreItem>
</file>

<file path=customXml/itemProps14.xml><?xml version="1.0" encoding="utf-8"?>
<ds:datastoreItem xmlns:ds="http://schemas.openxmlformats.org/officeDocument/2006/customXml" ds:itemID="{DBC92250-637E-4195-A25B-923307F1985D}">
  <ds:schemaRefs/>
</ds:datastoreItem>
</file>

<file path=customXml/itemProps15.xml><?xml version="1.0" encoding="utf-8"?>
<ds:datastoreItem xmlns:ds="http://schemas.openxmlformats.org/officeDocument/2006/customXml" ds:itemID="{439759D1-FAC9-4759-B1A3-EC8B9F64F21E}">
  <ds:schemaRefs/>
</ds:datastoreItem>
</file>

<file path=customXml/itemProps16.xml><?xml version="1.0" encoding="utf-8"?>
<ds:datastoreItem xmlns:ds="http://schemas.openxmlformats.org/officeDocument/2006/customXml" ds:itemID="{004E2CDF-4AFF-437E-9A2A-9EB88434F64D}">
  <ds:schemaRefs/>
</ds:datastoreItem>
</file>

<file path=customXml/itemProps17.xml><?xml version="1.0" encoding="utf-8"?>
<ds:datastoreItem xmlns:ds="http://schemas.openxmlformats.org/officeDocument/2006/customXml" ds:itemID="{38340CFB-385E-45AD-BA28-67696F3300E9}">
  <ds:schemaRefs/>
</ds:datastoreItem>
</file>

<file path=customXml/itemProps18.xml><?xml version="1.0" encoding="utf-8"?>
<ds:datastoreItem xmlns:ds="http://schemas.openxmlformats.org/officeDocument/2006/customXml" ds:itemID="{34073C72-C823-4209-9563-F333E1393784}">
  <ds:schemaRefs/>
</ds:datastoreItem>
</file>

<file path=customXml/itemProps19.xml><?xml version="1.0" encoding="utf-8"?>
<ds:datastoreItem xmlns:ds="http://schemas.openxmlformats.org/officeDocument/2006/customXml" ds:itemID="{3E98EC66-2A24-459E-83FF-3ED9485A5D34}">
  <ds:schemaRefs>
    <ds:schemaRef ds:uri="http://schemas.microsoft.com/DataMashup"/>
  </ds:schemaRefs>
</ds:datastoreItem>
</file>

<file path=customXml/itemProps20.xml><?xml version="1.0" encoding="utf-8"?>
<ds:datastoreItem xmlns:ds="http://schemas.openxmlformats.org/officeDocument/2006/customXml" ds:itemID="{A6A50B4A-5248-4FAE-A858-4900A966B40C}">
  <ds:schemaRefs/>
</ds:datastoreItem>
</file>

<file path=customXml/itemProps21.xml><?xml version="1.0" encoding="utf-8"?>
<ds:datastoreItem xmlns:ds="http://schemas.openxmlformats.org/officeDocument/2006/customXml" ds:itemID="{D5BA1727-511D-42D6-B512-12203B9C2EDF}">
  <ds:schemaRefs/>
</ds:datastoreItem>
</file>

<file path=customXml/itemProps22.xml><?xml version="1.0" encoding="utf-8"?>
<ds:datastoreItem xmlns:ds="http://schemas.openxmlformats.org/officeDocument/2006/customXml" ds:itemID="{C7B60BAF-B31B-4DD7-BC06-AC61AF9AC682}">
  <ds:schemaRefs/>
</ds:datastoreItem>
</file>

<file path=customXml/itemProps23.xml><?xml version="1.0" encoding="utf-8"?>
<ds:datastoreItem xmlns:ds="http://schemas.openxmlformats.org/officeDocument/2006/customXml" ds:itemID="{D5B7D823-A020-4601-9F31-7F2A7855C34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Abhijeet Chaudhary</dc:creator>
  <cp:lastModifiedBy>Abhijeet Chaudhary</cp:lastModifiedBy>
  <dcterms:created xsi:type="dcterms:W3CDTF">2025-09-06T12:50:23Z</dcterms:created>
  <dcterms:modified xsi:type="dcterms:W3CDTF">2025-09-07T23:17:34Z</dcterms:modified>
</cp:coreProperties>
</file>